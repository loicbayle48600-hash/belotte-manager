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uisine.fam\Desktop\"/>
    </mc:Choice>
  </mc:AlternateContent>
  <xr:revisionPtr revIDLastSave="0" documentId="13_ncr:1_{040A5F5E-A35D-4902-8A76-DB019E9BAC5B}" xr6:coauthVersionLast="36" xr6:coauthVersionMax="36" xr10:uidLastSave="{00000000-0000-0000-0000-000000000000}"/>
  <bookViews>
    <workbookView xWindow="0" yWindow="0" windowWidth="28800" windowHeight="13020" firstSheet="39" activeTab="47" xr2:uid="{154A0DB5-4115-4A51-8B51-9981251D1FF3}"/>
  </bookViews>
  <sheets>
    <sheet name="semaine 52 n-1" sheetId="2" r:id="rId1"/>
    <sheet name="semaine 1" sheetId="3" r:id="rId2"/>
    <sheet name="semaine 2" sheetId="4" r:id="rId3"/>
    <sheet name="semaine 3" sheetId="5" r:id="rId4"/>
    <sheet name="semaine 4" sheetId="6" r:id="rId5"/>
    <sheet name="semaine 5" sheetId="7" r:id="rId6"/>
    <sheet name="semaine 6" sheetId="1" r:id="rId7"/>
    <sheet name="semaine 7" sheetId="8" r:id="rId8"/>
    <sheet name="semaine 8" sheetId="9" r:id="rId9"/>
    <sheet name="semaine 9 " sheetId="10" r:id="rId10"/>
    <sheet name="semaine 10" sheetId="11" r:id="rId11"/>
    <sheet name="semaine 11" sheetId="12" r:id="rId12"/>
    <sheet name="semaine 12" sheetId="13" r:id="rId13"/>
    <sheet name="semaine 13" sheetId="14" r:id="rId14"/>
    <sheet name="semaine 14" sheetId="15" r:id="rId15"/>
    <sheet name="semaine 15" sheetId="16" r:id="rId16"/>
    <sheet name="semaine 16" sheetId="17" r:id="rId17"/>
    <sheet name="semaine 17" sheetId="18" r:id="rId18"/>
    <sheet name="semaine 18" sheetId="19" r:id="rId19"/>
    <sheet name="semaine 19" sheetId="21" r:id="rId20"/>
    <sheet name="semaine 20" sheetId="22" r:id="rId21"/>
    <sheet name="semaine 21" sheetId="23" r:id="rId22"/>
    <sheet name="semaine 22" sheetId="24" r:id="rId23"/>
    <sheet name="semaine 23" sheetId="25" r:id="rId24"/>
    <sheet name="semaine 24" sheetId="20" r:id="rId25"/>
    <sheet name="semaine 25" sheetId="26" r:id="rId26"/>
    <sheet name="semaine 26" sheetId="28" r:id="rId27"/>
    <sheet name="semaine 27" sheetId="29" r:id="rId28"/>
    <sheet name="semaine 28" sheetId="30" r:id="rId29"/>
    <sheet name="semaine 29" sheetId="31" r:id="rId30"/>
    <sheet name="semaine 30" sheetId="32" r:id="rId31"/>
    <sheet name="semaine 31" sheetId="33" r:id="rId32"/>
    <sheet name="semaine 32" sheetId="34" r:id="rId33"/>
    <sheet name="semaine 33" sheetId="35" r:id="rId34"/>
    <sheet name="semaine 34" sheetId="36" r:id="rId35"/>
    <sheet name="semaine 35" sheetId="37" r:id="rId36"/>
    <sheet name="semaine 36" sheetId="38" r:id="rId37"/>
    <sheet name="semaine 37" sheetId="40" r:id="rId38"/>
    <sheet name="semaine 38" sheetId="41" r:id="rId39"/>
    <sheet name="semaine 39" sheetId="42" r:id="rId40"/>
    <sheet name="semaine 40" sheetId="43" r:id="rId41"/>
    <sheet name="semaine 41" sheetId="44" r:id="rId42"/>
    <sheet name="semaine 42" sheetId="45" r:id="rId43"/>
    <sheet name="semaine 43" sheetId="46" r:id="rId44"/>
    <sheet name="semaine 44" sheetId="47" r:id="rId45"/>
    <sheet name="semaine 45" sheetId="48" r:id="rId46"/>
    <sheet name="semaine 46" sheetId="49" r:id="rId47"/>
    <sheet name="semaine 47" sheetId="50" r:id="rId48"/>
    <sheet name="semaine 48" sheetId="51" r:id="rId49"/>
    <sheet name="semaine 49" sheetId="52" r:id="rId50"/>
    <sheet name="semaine 50" sheetId="53" r:id="rId51"/>
    <sheet name="semaine 51" sheetId="55" r:id="rId52"/>
    <sheet name="semaine 52" sheetId="56" r:id="rId53"/>
  </sheets>
  <definedNames>
    <definedName name="_xlnm.Print_Area" localSheetId="1">'semaine 1'!$A$1:$E$37</definedName>
    <definedName name="_xlnm.Print_Area" localSheetId="11">'semaine 11'!$A$1:$E$37</definedName>
    <definedName name="_xlnm.Print_Area" localSheetId="16">'semaine 16'!$A$1:$E$37</definedName>
    <definedName name="_xlnm.Print_Area" localSheetId="17">'semaine 17'!$A$1:$E$37</definedName>
    <definedName name="_xlnm.Print_Area" localSheetId="18">'semaine 18'!$A$1:$E$37</definedName>
    <definedName name="_xlnm.Print_Area" localSheetId="19">'semaine 19'!$A$1:$E$37</definedName>
    <definedName name="_xlnm.Print_Area" localSheetId="20">'semaine 20'!$A$1:$E$37</definedName>
    <definedName name="_xlnm.Print_Area" localSheetId="21">'semaine 21'!$A$1:$E$37</definedName>
    <definedName name="_xlnm.Print_Area" localSheetId="22">'semaine 22'!$A$1:$E$37</definedName>
    <definedName name="_xlnm.Print_Area" localSheetId="23">'semaine 23'!$A$1:$E$37</definedName>
    <definedName name="_xlnm.Print_Area" localSheetId="24">'semaine 24'!$A$1:$E$37</definedName>
    <definedName name="_xlnm.Print_Area" localSheetId="3">'semaine 3'!$A$1:$E$37</definedName>
    <definedName name="_xlnm.Print_Area" localSheetId="4">'semaine 4'!$A$1:$E$37</definedName>
    <definedName name="_xlnm.Print_Area" localSheetId="5">'semaine 5'!$A$1:$E$37</definedName>
    <definedName name="_xlnm.Print_Area" localSheetId="6">'semaine 6'!$A$1:$E$37</definedName>
    <definedName name="_xlnm.Print_Area" localSheetId="7">'semaine 7'!$A$1:$E$37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5" l="1"/>
  <c r="A10" i="5"/>
  <c r="A15" i="5" s="1"/>
  <c r="A20" i="5" s="1"/>
  <c r="A25" i="5" s="1"/>
  <c r="A30" i="5" s="1"/>
  <c r="A35" i="5" s="1"/>
  <c r="E1" i="5" l="1"/>
  <c r="A10" i="6" l="1"/>
  <c r="A15" i="6" s="1"/>
  <c r="A20" i="6" s="1"/>
  <c r="A25" i="6" s="1"/>
  <c r="A30" i="6" s="1"/>
  <c r="A35" i="6" s="1"/>
  <c r="C1" i="6"/>
  <c r="A6" i="7" l="1"/>
  <c r="E1" i="6"/>
  <c r="C1" i="7" l="1"/>
  <c r="A10" i="7"/>
  <c r="A15" i="7" s="1"/>
  <c r="A20" i="7" s="1"/>
  <c r="A25" i="7" s="1"/>
  <c r="A30" i="7" s="1"/>
  <c r="A35" i="7" s="1"/>
  <c r="A5" i="1" s="1"/>
  <c r="E1" i="7" l="1"/>
  <c r="C1" i="1" l="1"/>
  <c r="A10" i="1"/>
  <c r="A15" i="1" s="1"/>
  <c r="A20" i="1" s="1"/>
  <c r="A25" i="1" s="1"/>
  <c r="A30" i="1" s="1"/>
  <c r="A35" i="1" s="1"/>
  <c r="A5" i="8" s="1"/>
  <c r="E1" i="1" l="1"/>
  <c r="C1" i="8" l="1"/>
  <c r="A10" i="8"/>
  <c r="A15" i="8" s="1"/>
  <c r="A20" i="8" s="1"/>
  <c r="A25" i="8" s="1"/>
  <c r="A30" i="8" s="1"/>
  <c r="A35" i="8" s="1"/>
  <c r="A5" i="9" s="1"/>
  <c r="E1" i="8" l="1"/>
  <c r="C1" i="9" l="1"/>
  <c r="A10" i="9"/>
  <c r="A15" i="9" s="1"/>
  <c r="A20" i="9" s="1"/>
  <c r="A25" i="9" s="1"/>
  <c r="A30" i="9" s="1"/>
  <c r="A35" i="9" s="1"/>
  <c r="E1" i="9" l="1"/>
  <c r="A5" i="10"/>
  <c r="A10" i="10" l="1"/>
  <c r="A15" i="10" s="1"/>
  <c r="A20" i="10" s="1"/>
  <c r="A25" i="10" s="1"/>
  <c r="A30" i="10" s="1"/>
  <c r="A35" i="10" s="1"/>
  <c r="A5" i="11" s="1"/>
  <c r="C1" i="10"/>
  <c r="E1" i="10" l="1"/>
  <c r="A10" i="11" l="1"/>
  <c r="A15" i="11" s="1"/>
  <c r="A20" i="11" s="1"/>
  <c r="A25" i="11" s="1"/>
  <c r="A30" i="11" s="1"/>
  <c r="A35" i="11" s="1"/>
  <c r="C1" i="11"/>
  <c r="E1" i="11" l="1"/>
  <c r="A6" i="12"/>
  <c r="A10" i="12" l="1"/>
  <c r="A15" i="12" s="1"/>
  <c r="A20" i="12" s="1"/>
  <c r="A25" i="12" s="1"/>
  <c r="A30" i="12" s="1"/>
  <c r="A35" i="12" s="1"/>
  <c r="C1" i="12"/>
  <c r="A5" i="13" l="1"/>
  <c r="E1" i="12"/>
  <c r="C1" i="13" l="1"/>
  <c r="A10" i="13"/>
  <c r="A15" i="13" s="1"/>
  <c r="A20" i="13" s="1"/>
  <c r="A25" i="13" s="1"/>
  <c r="A30" i="13" s="1"/>
  <c r="A35" i="13" s="1"/>
  <c r="A5" i="14" l="1"/>
  <c r="E1" i="13"/>
  <c r="C1" i="14" l="1"/>
  <c r="A10" i="14"/>
  <c r="A15" i="14" s="1"/>
  <c r="A20" i="14" s="1"/>
  <c r="A25" i="14" s="1"/>
  <c r="A30" i="14" s="1"/>
  <c r="A35" i="14" s="1"/>
  <c r="E1" i="14" l="1"/>
  <c r="A6" i="15"/>
  <c r="C1" i="15" l="1"/>
  <c r="A10" i="15"/>
  <c r="A15" i="15" s="1"/>
  <c r="A20" i="15" s="1"/>
  <c r="A25" i="15" s="1"/>
  <c r="A30" i="15" s="1"/>
  <c r="A35" i="15" s="1"/>
  <c r="E1" i="15" l="1"/>
  <c r="A5" i="16"/>
  <c r="A10" i="16" l="1"/>
  <c r="A15" i="16" s="1"/>
  <c r="A20" i="16" s="1"/>
  <c r="A25" i="16" s="1"/>
  <c r="A30" i="16" s="1"/>
  <c r="A35" i="16" s="1"/>
  <c r="C1" i="16"/>
  <c r="A5" i="17" l="1"/>
  <c r="E1" i="16"/>
  <c r="A10" i="17" l="1"/>
  <c r="A15" i="17" s="1"/>
  <c r="A20" i="17" s="1"/>
  <c r="A25" i="17" s="1"/>
  <c r="A30" i="17" s="1"/>
  <c r="A35" i="17" s="1"/>
  <c r="A5" i="18" s="1"/>
  <c r="C1" i="17"/>
  <c r="C1" i="18" l="1"/>
  <c r="A10" i="18"/>
  <c r="A15" i="18" s="1"/>
  <c r="A20" i="18" s="1"/>
  <c r="A25" i="18" s="1"/>
  <c r="A30" i="18" s="1"/>
  <c r="A35" i="18" s="1"/>
  <c r="E1" i="18" s="1"/>
  <c r="E1" i="17"/>
  <c r="A5" i="19" l="1"/>
  <c r="C1" i="19" l="1"/>
  <c r="A10" i="19"/>
  <c r="A15" i="19" s="1"/>
  <c r="A20" i="19" s="1"/>
  <c r="A25" i="19" s="1"/>
  <c r="A30" i="19" s="1"/>
  <c r="A35" i="19" s="1"/>
  <c r="E1" i="19" l="1"/>
  <c r="A5" i="21"/>
  <c r="C1" i="21" l="1"/>
  <c r="A10" i="21"/>
  <c r="A15" i="21" s="1"/>
  <c r="A20" i="21" s="1"/>
  <c r="A25" i="21" s="1"/>
  <c r="A30" i="21" s="1"/>
  <c r="A35" i="21" s="1"/>
  <c r="E1" i="21" l="1"/>
  <c r="A6" i="22"/>
  <c r="C1" i="22" l="1"/>
  <c r="A10" i="22"/>
  <c r="A15" i="22" s="1"/>
  <c r="A20" i="22" s="1"/>
  <c r="A25" i="22" s="1"/>
  <c r="A30" i="22" s="1"/>
  <c r="A35" i="22" s="1"/>
  <c r="E1" i="22" l="1"/>
  <c r="A5" i="23"/>
  <c r="A10" i="23" l="1"/>
  <c r="A15" i="23" s="1"/>
  <c r="A20" i="23" s="1"/>
  <c r="A25" i="23" s="1"/>
  <c r="A30" i="23" s="1"/>
  <c r="A35" i="23" s="1"/>
  <c r="C1" i="23"/>
  <c r="E1" i="23" l="1"/>
  <c r="A5" i="24"/>
  <c r="C1" i="24" l="1"/>
  <c r="A10" i="24"/>
  <c r="A15" i="24" s="1"/>
  <c r="A20" i="24" s="1"/>
  <c r="A25" i="24" s="1"/>
  <c r="A30" i="24" s="1"/>
  <c r="A35" i="24" s="1"/>
  <c r="A5" i="25" l="1"/>
  <c r="E1" i="24"/>
  <c r="A10" i="25" l="1"/>
  <c r="A15" i="25" s="1"/>
  <c r="A20" i="25" s="1"/>
  <c r="A25" i="25" s="1"/>
  <c r="A30" i="25" s="1"/>
  <c r="A35" i="25" s="1"/>
  <c r="C1" i="25"/>
  <c r="E1" i="25" l="1"/>
  <c r="A5" i="20"/>
  <c r="C1" i="20" l="1"/>
  <c r="A10" i="20"/>
  <c r="A15" i="20" s="1"/>
  <c r="A20" i="20" s="1"/>
  <c r="A25" i="20" s="1"/>
  <c r="A30" i="20" s="1"/>
  <c r="A35" i="20" s="1"/>
  <c r="A5" i="26" s="1"/>
  <c r="A10" i="26" l="1"/>
  <c r="A15" i="26" s="1"/>
  <c r="A20" i="26" s="1"/>
  <c r="A25" i="26" s="1"/>
  <c r="A30" i="26" s="1"/>
  <c r="A35" i="26" s="1"/>
  <c r="C1" i="26"/>
  <c r="E1" i="20"/>
  <c r="E1" i="26" l="1"/>
  <c r="A5" i="28"/>
  <c r="C1" i="28"/>
  <c r="A10" i="28"/>
  <c r="A15" i="28" s="1"/>
  <c r="A20" i="28" s="1"/>
  <c r="A25" i="28" s="1"/>
  <c r="A30" i="28" s="1"/>
  <c r="A35" i="28" s="1"/>
  <c r="E1" i="28" l="1"/>
  <c r="A5" i="29"/>
  <c r="A10" i="29" l="1"/>
  <c r="A15" i="29" s="1"/>
  <c r="A20" i="29" s="1"/>
  <c r="A25" i="29" s="1"/>
  <c r="A30" i="29" s="1"/>
  <c r="A35" i="29" s="1"/>
  <c r="C1" i="29"/>
  <c r="A5" i="30" l="1"/>
  <c r="E1" i="29"/>
  <c r="C1" i="30" l="1"/>
  <c r="A10" i="30"/>
  <c r="A15" i="30" s="1"/>
  <c r="A20" i="30" s="1"/>
  <c r="A25" i="30" s="1"/>
  <c r="A30" i="30" s="1"/>
  <c r="A35" i="30" s="1"/>
  <c r="A5" i="31" l="1"/>
  <c r="E1" i="30"/>
  <c r="C1" i="31" l="1"/>
  <c r="A10" i="31"/>
  <c r="A15" i="31" s="1"/>
  <c r="A20" i="31" s="1"/>
  <c r="A25" i="31" s="1"/>
  <c r="A30" i="31" s="1"/>
  <c r="A35" i="31" s="1"/>
  <c r="A5" i="32" l="1"/>
  <c r="E1" i="31"/>
  <c r="C1" i="32" l="1"/>
  <c r="A10" i="32"/>
  <c r="A15" i="32" s="1"/>
  <c r="A20" i="32" s="1"/>
  <c r="A25" i="32" s="1"/>
  <c r="A30" i="32" s="1"/>
  <c r="A35" i="32" s="1"/>
  <c r="A5" i="33" l="1"/>
  <c r="E1" i="32"/>
  <c r="C1" i="33" l="1"/>
  <c r="A10" i="33"/>
  <c r="A15" i="33" s="1"/>
  <c r="A20" i="33" s="1"/>
  <c r="A25" i="33" s="1"/>
  <c r="A30" i="33" s="1"/>
  <c r="A35" i="33" s="1"/>
  <c r="E1" i="33" l="1"/>
  <c r="A5" i="34"/>
  <c r="C1" i="34" l="1"/>
  <c r="A10" i="34"/>
  <c r="A15" i="34" s="1"/>
  <c r="A20" i="34" s="1"/>
  <c r="A25" i="34" s="1"/>
  <c r="A30" i="34" s="1"/>
  <c r="A35" i="34" s="1"/>
  <c r="E1" i="34" l="1"/>
  <c r="A5" i="35"/>
  <c r="C1" i="35" l="1"/>
  <c r="A10" i="35"/>
  <c r="A15" i="35" s="1"/>
  <c r="A20" i="35" s="1"/>
  <c r="A25" i="35" s="1"/>
  <c r="A30" i="35" s="1"/>
  <c r="A35" i="35" s="1"/>
  <c r="A5" i="36" l="1"/>
  <c r="E1" i="35"/>
  <c r="C1" i="36" l="1"/>
  <c r="A10" i="36"/>
  <c r="A15" i="36" s="1"/>
  <c r="A20" i="36" s="1"/>
  <c r="A25" i="36" s="1"/>
  <c r="A30" i="36" s="1"/>
  <c r="A35" i="36" s="1"/>
  <c r="A5" i="37" l="1"/>
  <c r="E1" i="36"/>
  <c r="C1" i="37" l="1"/>
  <c r="A10" i="37"/>
  <c r="A15" i="37" s="1"/>
  <c r="A20" i="37" s="1"/>
  <c r="A25" i="37" s="1"/>
  <c r="A30" i="37" s="1"/>
  <c r="A35" i="37" s="1"/>
  <c r="E1" i="37" l="1"/>
  <c r="A5" i="38"/>
  <c r="A10" i="38" l="1"/>
  <c r="A15" i="38" s="1"/>
  <c r="A20" i="38" s="1"/>
  <c r="A25" i="38" s="1"/>
  <c r="A30" i="38" s="1"/>
  <c r="A35" i="38" s="1"/>
  <c r="A5" i="40" s="1"/>
  <c r="C1" i="38"/>
  <c r="C1" i="40" l="1"/>
  <c r="A10" i="40"/>
  <c r="A15" i="40" s="1"/>
  <c r="A20" i="40" s="1"/>
  <c r="A25" i="40" s="1"/>
  <c r="A30" i="40" s="1"/>
  <c r="A35" i="40" s="1"/>
  <c r="E1" i="40" s="1"/>
  <c r="E1" i="38"/>
  <c r="A5" i="41" l="1"/>
  <c r="C1" i="41" l="1"/>
  <c r="A10" i="41"/>
  <c r="A15" i="41" s="1"/>
  <c r="A20" i="41" s="1"/>
  <c r="A25" i="41" s="1"/>
  <c r="A30" i="41" s="1"/>
  <c r="A35" i="41" s="1"/>
  <c r="E1" i="41" l="1"/>
  <c r="A5" i="42"/>
  <c r="A10" i="42" l="1"/>
  <c r="A15" i="42" s="1"/>
  <c r="A20" i="42" s="1"/>
  <c r="A25" i="42" s="1"/>
  <c r="A30" i="42" s="1"/>
  <c r="A35" i="42" s="1"/>
  <c r="C1" i="42"/>
  <c r="A5" i="43" l="1"/>
  <c r="E1" i="42"/>
  <c r="A10" i="43" l="1"/>
  <c r="A15" i="43" s="1"/>
  <c r="A20" i="43" s="1"/>
  <c r="A25" i="43" s="1"/>
  <c r="A30" i="43" s="1"/>
  <c r="A35" i="43" s="1"/>
  <c r="C1" i="43"/>
  <c r="A5" i="44" l="1"/>
  <c r="E1" i="43"/>
  <c r="C1" i="44" l="1"/>
  <c r="A10" i="44"/>
  <c r="A15" i="44" s="1"/>
  <c r="A20" i="44" s="1"/>
  <c r="A25" i="44" s="1"/>
  <c r="A30" i="44" s="1"/>
  <c r="A35" i="44" s="1"/>
  <c r="E1" i="44" l="1"/>
  <c r="A5" i="45"/>
  <c r="C1" i="45" l="1"/>
  <c r="A10" i="45"/>
  <c r="A15" i="45" s="1"/>
  <c r="A20" i="45" s="1"/>
  <c r="A25" i="45" s="1"/>
  <c r="A30" i="45" s="1"/>
  <c r="A35" i="45" s="1"/>
  <c r="E1" i="45" l="1"/>
  <c r="A5" i="46"/>
  <c r="C1" i="46" l="1"/>
  <c r="A10" i="46"/>
  <c r="A15" i="46" s="1"/>
  <c r="A20" i="46" s="1"/>
  <c r="A25" i="46" s="1"/>
  <c r="A30" i="46" s="1"/>
  <c r="A35" i="46" s="1"/>
  <c r="E1" i="46" l="1"/>
  <c r="A5" i="47"/>
  <c r="C1" i="47" l="1"/>
  <c r="A10" i="47"/>
  <c r="A15" i="47" s="1"/>
  <c r="A20" i="47" s="1"/>
  <c r="A25" i="47" s="1"/>
  <c r="A30" i="47" s="1"/>
  <c r="A35" i="47" s="1"/>
  <c r="E1" i="47" l="1"/>
  <c r="A5" i="48"/>
  <c r="A10" i="48" l="1"/>
  <c r="A15" i="48" s="1"/>
  <c r="A20" i="48" s="1"/>
  <c r="A25" i="48" s="1"/>
  <c r="A30" i="48" s="1"/>
  <c r="A35" i="48" s="1"/>
  <c r="C1" i="48"/>
  <c r="A5" i="49" l="1"/>
  <c r="E1" i="48"/>
  <c r="A10" i="49" l="1"/>
  <c r="A15" i="49" s="1"/>
  <c r="A20" i="49" s="1"/>
  <c r="A25" i="49" s="1"/>
  <c r="A30" i="49" s="1"/>
  <c r="A35" i="49" s="1"/>
  <c r="C1" i="49"/>
  <c r="E1" i="49" l="1"/>
  <c r="A5" i="50"/>
  <c r="A10" i="50" l="1"/>
  <c r="A15" i="50" s="1"/>
  <c r="A20" i="50" s="1"/>
  <c r="A25" i="50" s="1"/>
  <c r="A30" i="50" s="1"/>
  <c r="A35" i="50" s="1"/>
  <c r="C1" i="50"/>
  <c r="A5" i="51" l="1"/>
  <c r="E1" i="50"/>
  <c r="C1" i="51" l="1"/>
  <c r="A10" i="51"/>
  <c r="A15" i="51" s="1"/>
  <c r="A20" i="51" s="1"/>
  <c r="A25" i="51" s="1"/>
  <c r="A30" i="51" s="1"/>
  <c r="A35" i="51" s="1"/>
  <c r="A5" i="52" l="1"/>
  <c r="E1" i="51"/>
  <c r="C1" i="52" l="1"/>
  <c r="A10" i="52"/>
  <c r="A15" i="52" s="1"/>
  <c r="A20" i="52" s="1"/>
  <c r="A25" i="52" s="1"/>
  <c r="A30" i="52" s="1"/>
  <c r="A35" i="52" s="1"/>
  <c r="E1" i="52" l="1"/>
  <c r="A5" i="53"/>
  <c r="C1" i="53" l="1"/>
  <c r="A10" i="53"/>
  <c r="A15" i="53" s="1"/>
  <c r="A20" i="53" s="1"/>
  <c r="A25" i="53" s="1"/>
  <c r="A30" i="53" s="1"/>
  <c r="A35" i="53" s="1"/>
  <c r="E1" i="53" l="1"/>
  <c r="A5" i="55"/>
  <c r="A10" i="55" l="1"/>
  <c r="A15" i="55" s="1"/>
  <c r="A20" i="55" s="1"/>
  <c r="A25" i="55" s="1"/>
  <c r="A30" i="55" s="1"/>
  <c r="A35" i="55" s="1"/>
  <c r="C1" i="55"/>
  <c r="A5" i="56" l="1"/>
  <c r="E1" i="55"/>
  <c r="A5" i="2" l="1"/>
  <c r="C1" i="56"/>
  <c r="A10" i="56"/>
  <c r="A15" i="56" s="1"/>
  <c r="A20" i="56" s="1"/>
  <c r="A25" i="56" s="1"/>
  <c r="A30" i="56" s="1"/>
  <c r="A35" i="56" s="1"/>
  <c r="E1" i="56" s="1"/>
  <c r="A10" i="2" l="1"/>
  <c r="A15" i="2" s="1"/>
  <c r="A20" i="2" s="1"/>
  <c r="A25" i="2" s="1"/>
  <c r="A30" i="2" s="1"/>
  <c r="A35" i="2" s="1"/>
  <c r="C1" i="2"/>
  <c r="E1" i="2" l="1"/>
  <c r="A6" i="3"/>
  <c r="A10" i="3" l="1"/>
  <c r="A15" i="3" s="1"/>
  <c r="A20" i="3" s="1"/>
  <c r="A25" i="3" s="1"/>
  <c r="A30" i="3" s="1"/>
  <c r="A35" i="3" s="1"/>
  <c r="A6" i="4" s="1"/>
  <c r="C1" i="3"/>
  <c r="A10" i="4" l="1"/>
  <c r="C1" i="4"/>
  <c r="E1" i="3"/>
  <c r="A15" i="4" l="1"/>
  <c r="A20" i="4" s="1"/>
  <c r="A25" i="4" s="1"/>
  <c r="A30" i="4" s="1"/>
  <c r="A35" i="4" s="1"/>
  <c r="E1" i="4" s="1"/>
</calcChain>
</file>

<file path=xl/sharedStrings.xml><?xml version="1.0" encoding="utf-8"?>
<sst xmlns="http://schemas.openxmlformats.org/spreadsheetml/2006/main" count="4583" uniqueCount="713">
  <si>
    <t>Menu du :</t>
  </si>
  <si>
    <t>AU</t>
  </si>
  <si>
    <t>Midi</t>
  </si>
  <si>
    <t>Soir</t>
  </si>
  <si>
    <t>salade</t>
  </si>
  <si>
    <t>Lundi</t>
  </si>
  <si>
    <t>France</t>
  </si>
  <si>
    <t>Mardi</t>
  </si>
  <si>
    <t>frite</t>
  </si>
  <si>
    <t>Mercredi</t>
  </si>
  <si>
    <t>Jeudi</t>
  </si>
  <si>
    <t>haricots vert</t>
  </si>
  <si>
    <t>quiche</t>
  </si>
  <si>
    <t>celerie remoulade</t>
  </si>
  <si>
    <t>pois chiche</t>
  </si>
  <si>
    <t>Vendredi</t>
  </si>
  <si>
    <t>riz</t>
  </si>
  <si>
    <t>Samedi</t>
  </si>
  <si>
    <t>escalope de porc</t>
  </si>
  <si>
    <t>brocolis</t>
  </si>
  <si>
    <t>yaourt</t>
  </si>
  <si>
    <t>Dimanche</t>
  </si>
  <si>
    <t>carottes</t>
  </si>
  <si>
    <t>Fromage</t>
  </si>
  <si>
    <t>Dessert</t>
  </si>
  <si>
    <t>pizza</t>
  </si>
  <si>
    <t xml:space="preserve">  </t>
  </si>
  <si>
    <t>cordon bleu</t>
  </si>
  <si>
    <t>petit pois</t>
  </si>
  <si>
    <t>saucisse</t>
  </si>
  <si>
    <t>croque monsieur</t>
  </si>
  <si>
    <t>taboulé</t>
  </si>
  <si>
    <t>poisson bordelaise</t>
  </si>
  <si>
    <t>Salade verte</t>
  </si>
  <si>
    <t>feuilleté</t>
  </si>
  <si>
    <t>salade de pate</t>
  </si>
  <si>
    <t>haricots beurre</t>
  </si>
  <si>
    <t>pomme de terre vapeur</t>
  </si>
  <si>
    <t>escalope de veau</t>
  </si>
  <si>
    <t>pate</t>
  </si>
  <si>
    <t>cuisse de poulet</t>
  </si>
  <si>
    <t>salade verte</t>
  </si>
  <si>
    <t>carotte</t>
  </si>
  <si>
    <t>lentille</t>
  </si>
  <si>
    <t>salade mexicaine</t>
  </si>
  <si>
    <t xml:space="preserve"> </t>
  </si>
  <si>
    <t>choux romanesco</t>
  </si>
  <si>
    <t>betterave</t>
  </si>
  <si>
    <t>pomme dauphine</t>
  </si>
  <si>
    <t>œuf dur</t>
  </si>
  <si>
    <t>purée</t>
  </si>
  <si>
    <t>salade piémontaise</t>
  </si>
  <si>
    <t>langue de bœuf</t>
  </si>
  <si>
    <t>ratatouille</t>
  </si>
  <si>
    <t>rösti</t>
  </si>
  <si>
    <t>asperge</t>
  </si>
  <si>
    <t>tomate</t>
  </si>
  <si>
    <t>coquillette</t>
  </si>
  <si>
    <t>kebab</t>
  </si>
  <si>
    <t>épinard</t>
  </si>
  <si>
    <t>melon</t>
  </si>
  <si>
    <t>brochette</t>
  </si>
  <si>
    <t>poulet basquaise</t>
  </si>
  <si>
    <t>semoule</t>
  </si>
  <si>
    <t>pomme de terre grenaille</t>
  </si>
  <si>
    <t>Quiche</t>
  </si>
  <si>
    <t>salsifis</t>
  </si>
  <si>
    <t>gardianne</t>
  </si>
  <si>
    <t>sauté de veau</t>
  </si>
  <si>
    <t>Yaourt</t>
  </si>
  <si>
    <t>champignon a la grec</t>
  </si>
  <si>
    <t>Semoule</t>
  </si>
  <si>
    <t>salade de tomate</t>
  </si>
  <si>
    <t>sauté de poulet</t>
  </si>
  <si>
    <t>gratin de potimarron</t>
  </si>
  <si>
    <t>Mesclun</t>
  </si>
  <si>
    <t>Betteraves</t>
  </si>
  <si>
    <t>Riz</t>
  </si>
  <si>
    <t>Carottes râpées</t>
  </si>
  <si>
    <t>UE</t>
  </si>
  <si>
    <t>Cassoulet</t>
  </si>
  <si>
    <t xml:space="preserve">Saucisse </t>
  </si>
  <si>
    <t>Haricots verts</t>
  </si>
  <si>
    <t xml:space="preserve">Sauté de Lapin </t>
  </si>
  <si>
    <t xml:space="preserve">Endives au Jambon </t>
  </si>
  <si>
    <t xml:space="preserve">Choux de Bruxelles </t>
  </si>
  <si>
    <t xml:space="preserve">Fruit </t>
  </si>
  <si>
    <t xml:space="preserve">Salade Coleslow </t>
  </si>
  <si>
    <t xml:space="preserve">Potage de Légumes </t>
  </si>
  <si>
    <t xml:space="preserve">Escalope de Veau </t>
  </si>
  <si>
    <t xml:space="preserve">Fromage </t>
  </si>
  <si>
    <t xml:space="preserve">Dessert </t>
  </si>
  <si>
    <t xml:space="preserve">Macédoine de Légumes </t>
  </si>
  <si>
    <t xml:space="preserve">Potage de Féculents </t>
  </si>
  <si>
    <t xml:space="preserve">Feuilleté </t>
  </si>
  <si>
    <t xml:space="preserve">Mousse de Canard </t>
  </si>
  <si>
    <t xml:space="preserve">Carottes Rapées </t>
  </si>
  <si>
    <t xml:space="preserve">Jambon Blanc </t>
  </si>
  <si>
    <t xml:space="preserve">Semoule </t>
  </si>
  <si>
    <t xml:space="preserve">Rôti de Veau </t>
  </si>
  <si>
    <t>Tranche de Jambon Cru</t>
  </si>
  <si>
    <t xml:space="preserve">Riz </t>
  </si>
  <si>
    <t xml:space="preserve">Avocat Mayonnaise </t>
  </si>
  <si>
    <t xml:space="preserve">Salade d'Endives </t>
  </si>
  <si>
    <t xml:space="preserve">Salade Verte </t>
  </si>
  <si>
    <t>Sûprèmes de Volaille</t>
  </si>
  <si>
    <t xml:space="preserve">Langue de Bœuf Sauce Piquante </t>
  </si>
  <si>
    <t xml:space="preserve">Petit Pois/Carotte </t>
  </si>
  <si>
    <t xml:space="preserve">Côtes de Blette </t>
  </si>
  <si>
    <t>Salade d'Endives</t>
  </si>
  <si>
    <t>Potage de Féculents</t>
  </si>
  <si>
    <t xml:space="preserve">Salade de Betteraves </t>
  </si>
  <si>
    <t xml:space="preserve">Pamplemousse </t>
  </si>
  <si>
    <t>Carottes Persillées</t>
  </si>
  <si>
    <t>Flageolets</t>
  </si>
  <si>
    <t xml:space="preserve">Escalope de Porc </t>
  </si>
  <si>
    <t>Avocat Mayonnaise</t>
  </si>
  <si>
    <t>Pizza</t>
  </si>
  <si>
    <t xml:space="preserve">Hachis Parmentier </t>
  </si>
  <si>
    <t xml:space="preserve">Fondue de Poireaux </t>
  </si>
  <si>
    <t xml:space="preserve">Dos de colin Bordelaise </t>
  </si>
  <si>
    <t xml:space="preserve">Pâté en Croûte </t>
  </si>
  <si>
    <t>Poireaux en Vinaigrette</t>
  </si>
  <si>
    <t>Rôti de Veau</t>
  </si>
  <si>
    <t>Poisson Pané</t>
  </si>
  <si>
    <t>Pomme de Terre Rissolées</t>
  </si>
  <si>
    <t xml:space="preserve">Hamburger </t>
  </si>
  <si>
    <t>Frites</t>
  </si>
  <si>
    <t xml:space="preserve">Boudin Noir </t>
  </si>
  <si>
    <t xml:space="preserve">Pommes Caramélisées </t>
  </si>
  <si>
    <t xml:space="preserve">Epinards Florentine </t>
  </si>
  <si>
    <t xml:space="preserve">Terrine de Campagne </t>
  </si>
  <si>
    <t xml:space="preserve">Taboulé </t>
  </si>
  <si>
    <t xml:space="preserve">Paupiette de Volaille </t>
  </si>
  <si>
    <t>Tartiflette</t>
  </si>
  <si>
    <t xml:space="preserve">Sauté de Veau </t>
  </si>
  <si>
    <t xml:space="preserve">Terrine de Légumes </t>
  </si>
  <si>
    <t xml:space="preserve">Quenelle de Volailles </t>
  </si>
  <si>
    <t>Carottes Rapées</t>
  </si>
  <si>
    <t xml:space="preserve">Dos de Colin Meunière </t>
  </si>
  <si>
    <t>Haricots beurre</t>
  </si>
  <si>
    <t>Feuilleté</t>
  </si>
  <si>
    <t>Salade de lentille</t>
  </si>
  <si>
    <t>Petit Pois</t>
  </si>
  <si>
    <t>Yaourt bio</t>
  </si>
  <si>
    <t>poisson pané</t>
  </si>
  <si>
    <t>celeri rémoulade</t>
  </si>
  <si>
    <t xml:space="preserve">carottes </t>
  </si>
  <si>
    <t>rosette</t>
  </si>
  <si>
    <t>poisson</t>
  </si>
  <si>
    <t>jambonnette</t>
  </si>
  <si>
    <t>perles</t>
  </si>
  <si>
    <t>carottes rapées</t>
  </si>
  <si>
    <t>salade chou fleur</t>
  </si>
  <si>
    <t>Gratin de Chou Fleur</t>
  </si>
  <si>
    <t xml:space="preserve">Pomme de Terre Rissolées </t>
  </si>
  <si>
    <t>Œuf Mayonnaise</t>
  </si>
  <si>
    <t>Salsifis</t>
  </si>
  <si>
    <t>Salade de Lentilles</t>
  </si>
  <si>
    <t xml:space="preserve">Andouillette </t>
  </si>
  <si>
    <t>Haricot Vert</t>
  </si>
  <si>
    <t>tête de veau</t>
  </si>
  <si>
    <t xml:space="preserve">Cordon Bleu </t>
  </si>
  <si>
    <t>P De Terre vapeur</t>
  </si>
  <si>
    <t xml:space="preserve">Chou Brocolis </t>
  </si>
  <si>
    <t>Paté aux olives</t>
  </si>
  <si>
    <t xml:space="preserve">Pavé de Poisson </t>
  </si>
  <si>
    <t xml:space="preserve">roti de Porc </t>
  </si>
  <si>
    <t>Lasagne au Bœuf</t>
  </si>
  <si>
    <t>Chou romanesco</t>
  </si>
  <si>
    <t>Steack de Bœuf</t>
  </si>
  <si>
    <t>Rapé de Pomme de Terre</t>
  </si>
  <si>
    <t>Salade de Perles</t>
  </si>
  <si>
    <t>Croziflette</t>
  </si>
  <si>
    <t>Chipolatas</t>
  </si>
  <si>
    <t>Haricots blanc</t>
  </si>
  <si>
    <t>Taboulé</t>
  </si>
  <si>
    <t>Raviolis</t>
  </si>
  <si>
    <t xml:space="preserve">Salade de Chou Chinois </t>
  </si>
  <si>
    <t>Œuf béchamel</t>
  </si>
  <si>
    <t>Aligot</t>
  </si>
  <si>
    <t>Salade d'endives</t>
  </si>
  <si>
    <t>Saumon</t>
  </si>
  <si>
    <t>Chili con carne</t>
  </si>
  <si>
    <t xml:space="preserve">Chou Romanesco </t>
  </si>
  <si>
    <t>Flecque</t>
  </si>
  <si>
    <t>Pates Carbonara</t>
  </si>
  <si>
    <t>Salade de Riz</t>
  </si>
  <si>
    <t>Lentilles</t>
  </si>
  <si>
    <t>Poelée de légumes</t>
  </si>
  <si>
    <t>Poireaux vinaigrette</t>
  </si>
  <si>
    <t>Pavé de Poisson</t>
  </si>
  <si>
    <t>Escalope viennoise</t>
  </si>
  <si>
    <t>Epinards à la crème</t>
  </si>
  <si>
    <t>Riz à la tomate</t>
  </si>
  <si>
    <t>Pot au feu</t>
  </si>
  <si>
    <t xml:space="preserve">Brésil </t>
  </si>
  <si>
    <t xml:space="preserve">Choucroute </t>
  </si>
  <si>
    <t>Mortadelle</t>
  </si>
  <si>
    <t>Salade Mexicaine</t>
  </si>
  <si>
    <t>Gratin de poisson</t>
  </si>
  <si>
    <t>Haricots vert</t>
  </si>
  <si>
    <t>Nugget's poulet</t>
  </si>
  <si>
    <t>Pomme de Terre boulangère</t>
  </si>
  <si>
    <t>Paupiette de Volaille</t>
  </si>
  <si>
    <t>Pomme de terre Duchesse</t>
  </si>
  <si>
    <t>omelette</t>
  </si>
  <si>
    <t>roti de dinde</t>
  </si>
  <si>
    <t>Gratin dauphinois</t>
  </si>
  <si>
    <t>riz à la tomate</t>
  </si>
  <si>
    <t>Salade de pois chiche</t>
  </si>
  <si>
    <t>Tripoux</t>
  </si>
  <si>
    <t>Bresil</t>
  </si>
  <si>
    <t>Salade de  Riz</t>
  </si>
  <si>
    <t>Potage de legumes</t>
  </si>
  <si>
    <t>Chou Farçi</t>
  </si>
  <si>
    <t xml:space="preserve">Dos de Cabillaud </t>
  </si>
  <si>
    <t>boulettes</t>
  </si>
  <si>
    <t xml:space="preserve">Navarin </t>
  </si>
  <si>
    <t>Paté de campagne</t>
  </si>
  <si>
    <t xml:space="preserve">Brocolis </t>
  </si>
  <si>
    <t>Fruit</t>
  </si>
  <si>
    <t>Chou de Bruxelles</t>
  </si>
  <si>
    <t>Aiguillettes de Poulet aux Cèpes</t>
  </si>
  <si>
    <t xml:space="preserve">Carottes </t>
  </si>
  <si>
    <t xml:space="preserve">Salade de Lentilles </t>
  </si>
  <si>
    <t>haricots Plat</t>
  </si>
  <si>
    <t xml:space="preserve">Salade Haricots Beurre </t>
  </si>
  <si>
    <t>Parmentier de poisson</t>
  </si>
  <si>
    <t>flammenkueche</t>
  </si>
  <si>
    <t>macédoine</t>
  </si>
  <si>
    <t xml:space="preserve">Sauté de Dinde </t>
  </si>
  <si>
    <t>Rostis</t>
  </si>
  <si>
    <t xml:space="preserve">carotte a créme </t>
  </si>
  <si>
    <t>Betterave</t>
  </si>
  <si>
    <t xml:space="preserve">choux chinois </t>
  </si>
  <si>
    <t>steack de bœuf</t>
  </si>
  <si>
    <t>bourguinon</t>
  </si>
  <si>
    <t>émincé de poulet</t>
  </si>
  <si>
    <t>Tartare de saumon</t>
  </si>
  <si>
    <t>Magret de canard</t>
  </si>
  <si>
    <t>Velouté aux pointes d'asperges</t>
  </si>
  <si>
    <t>Feuilleté st jacques</t>
  </si>
  <si>
    <t>pomme pins</t>
  </si>
  <si>
    <t>Fromage vache ail des ours</t>
  </si>
  <si>
    <t>Entremet chocolat caramel</t>
  </si>
  <si>
    <t>toast fois gras</t>
  </si>
  <si>
    <t>Roti de dinde forestière</t>
  </si>
  <si>
    <t>Pomme dauphine H,V</t>
  </si>
  <si>
    <t>Fromage au noix</t>
  </si>
  <si>
    <t>Buche</t>
  </si>
  <si>
    <t>velouté potimarron</t>
  </si>
  <si>
    <t>Boudin blanc sauce morilles</t>
  </si>
  <si>
    <t>pomme caramélisé</t>
  </si>
  <si>
    <t>Mandarine</t>
  </si>
  <si>
    <t>Filet mignon au cidre</t>
  </si>
  <si>
    <t>salade périgoudine</t>
  </si>
  <si>
    <t xml:space="preserve">Risotto </t>
  </si>
  <si>
    <t>Soupe de poisson</t>
  </si>
  <si>
    <t>gratin potimarron</t>
  </si>
  <si>
    <t>frites PDT douce fagot de haricots verts</t>
  </si>
  <si>
    <t>Velouté de cépes chataigne</t>
  </si>
  <si>
    <t>Croustade escargots</t>
  </si>
  <si>
    <t>Duo de carottes</t>
  </si>
  <si>
    <t>Entremets croustillant chocolat</t>
  </si>
  <si>
    <t>Stack de bœuf</t>
  </si>
  <si>
    <t>Paupiette de volaile</t>
  </si>
  <si>
    <t>Choux fleur</t>
  </si>
  <si>
    <t>Mache</t>
  </si>
  <si>
    <t>pomme de terre rissolées</t>
  </si>
  <si>
    <t>Poireau en salade</t>
  </si>
  <si>
    <t>tartiflette</t>
  </si>
  <si>
    <t>œuf mayonnaise</t>
  </si>
  <si>
    <t>salsifi</t>
  </si>
  <si>
    <t>Suprême de volaille</t>
  </si>
  <si>
    <t>Crumble de légumes</t>
  </si>
  <si>
    <t>Pavé de poisson</t>
  </si>
  <si>
    <t>Terrine de légumes</t>
  </si>
  <si>
    <t>Qunelle de volaille</t>
  </si>
  <si>
    <t>Roti de porc</t>
  </si>
  <si>
    <t>Choux rpmanesco</t>
  </si>
  <si>
    <t>lasagne au bœuf</t>
  </si>
  <si>
    <t>escalope milanaise</t>
  </si>
  <si>
    <t>dos de colin meunière</t>
  </si>
  <si>
    <t>rapé de pomme de terre</t>
  </si>
  <si>
    <t>Escalope dinde</t>
  </si>
  <si>
    <t>maquereaux</t>
  </si>
  <si>
    <t>Pomme de terre sautées</t>
  </si>
  <si>
    <t>Steack de bœuf</t>
  </si>
  <si>
    <t>Rosbeef</t>
  </si>
  <si>
    <t xml:space="preserve">UE </t>
  </si>
  <si>
    <t>Daube</t>
  </si>
  <si>
    <t>Alaska</t>
  </si>
  <si>
    <t>Avocat</t>
  </si>
  <si>
    <t>12 pers en+</t>
  </si>
  <si>
    <t>13 pers en+</t>
  </si>
  <si>
    <t>2 pers en+</t>
  </si>
  <si>
    <t>crêpe salé</t>
  </si>
  <si>
    <t>Crêpe sucré</t>
  </si>
  <si>
    <t>Paupiette de Veau</t>
  </si>
  <si>
    <t>rosti</t>
  </si>
  <si>
    <t>16 pers en+</t>
  </si>
  <si>
    <t>Lasagne</t>
  </si>
  <si>
    <t>Salade de betteraves</t>
  </si>
  <si>
    <t>Saucisses</t>
  </si>
  <si>
    <t>Celeri rémoulade</t>
  </si>
  <si>
    <t>Pomme de Terre sauté</t>
  </si>
  <si>
    <t xml:space="preserve">Betteraves </t>
  </si>
  <si>
    <t>Salade pomme de terre</t>
  </si>
  <si>
    <t>Rôti de veau</t>
  </si>
  <si>
    <t>Carottes Rapée</t>
  </si>
  <si>
    <t>Tomates mozzarella</t>
  </si>
  <si>
    <t>Rosette</t>
  </si>
  <si>
    <t>Croque monsieur</t>
  </si>
  <si>
    <t>Macédoine</t>
  </si>
  <si>
    <t>Laitage</t>
  </si>
  <si>
    <t>Poisson</t>
  </si>
  <si>
    <t>Crêpe</t>
  </si>
  <si>
    <t>Brandade de morue</t>
  </si>
  <si>
    <t>Saucisse sèche</t>
  </si>
  <si>
    <t xml:space="preserve">Purée patate douce </t>
  </si>
  <si>
    <t>Entremet vanille Fruit rouge</t>
  </si>
  <si>
    <t>Tournedos</t>
  </si>
  <si>
    <t>Calamar</t>
  </si>
  <si>
    <t>Flan de légume</t>
  </si>
  <si>
    <t>Jambon braiser</t>
  </si>
  <si>
    <t>Bourguignon</t>
  </si>
  <si>
    <t>Pâtes</t>
  </si>
  <si>
    <t>Carbonade artichaud</t>
  </si>
  <si>
    <t>Rosbeef froid</t>
  </si>
  <si>
    <t>Gnocchi</t>
  </si>
  <si>
    <t>Moussaka</t>
  </si>
  <si>
    <t>Petite salée</t>
  </si>
  <si>
    <t>Tête de veau</t>
  </si>
  <si>
    <t>Salade de lentilles</t>
  </si>
  <si>
    <t>Paëlla</t>
  </si>
  <si>
    <t>Sauté de veau</t>
  </si>
  <si>
    <t>Tarte à la tomate et chèvre</t>
  </si>
  <si>
    <t>Frite</t>
  </si>
  <si>
    <t>Couscous et</t>
  </si>
  <si>
    <t>ses légumes</t>
  </si>
  <si>
    <t>Pates</t>
  </si>
  <si>
    <t>Hachi Parmentier de canard</t>
  </si>
  <si>
    <t>Jardinière de légumes</t>
  </si>
  <si>
    <t>Salade mexicaine</t>
  </si>
  <si>
    <t xml:space="preserve">Cuisse de lapin </t>
  </si>
  <si>
    <t>Pomme de terre</t>
  </si>
  <si>
    <t>Rôti de porc</t>
  </si>
  <si>
    <t>Carotte</t>
  </si>
  <si>
    <t>Râpé de courgette</t>
  </si>
  <si>
    <t>Steak de bœuf</t>
  </si>
  <si>
    <t>Rillettes de canard</t>
  </si>
  <si>
    <t>Lasagne saumon épinard</t>
  </si>
  <si>
    <t>Salade de choux fleur</t>
  </si>
  <si>
    <t>Poulet basquaise</t>
  </si>
  <si>
    <t>Salade de pate</t>
  </si>
  <si>
    <t>Escalope de porc</t>
  </si>
  <si>
    <t>Flan de blette</t>
  </si>
  <si>
    <t>Salade de tomates</t>
  </si>
  <si>
    <t>Cordon bleu</t>
  </si>
  <si>
    <t>Salade de riz</t>
  </si>
  <si>
    <t xml:space="preserve">Omelette </t>
  </si>
  <si>
    <t>Asperge</t>
  </si>
  <si>
    <t>Merguez</t>
  </si>
  <si>
    <t>Quenelle</t>
  </si>
  <si>
    <t>Brocolis</t>
  </si>
  <si>
    <t>Jambon a la russe</t>
  </si>
  <si>
    <t xml:space="preserve">Salade pois chiche </t>
  </si>
  <si>
    <t>Bouché a la reine</t>
  </si>
  <si>
    <t>Choux brocolis</t>
  </si>
  <si>
    <t>Salade de pomme de terre</t>
  </si>
  <si>
    <t>Steak haché</t>
  </si>
  <si>
    <t>Tomate provençal</t>
  </si>
  <si>
    <t>Blanquette de poisson</t>
  </si>
  <si>
    <t>Fondu de poireaux</t>
  </si>
  <si>
    <t>Salade de betterave-maïs</t>
  </si>
  <si>
    <t>Escalope de veau</t>
  </si>
  <si>
    <t>Pomme de terre vapeur</t>
  </si>
  <si>
    <t>Navarin agneau</t>
  </si>
  <si>
    <t>Flageolet</t>
  </si>
  <si>
    <t>Salade haricots vert</t>
  </si>
  <si>
    <t>Poisson pané</t>
  </si>
  <si>
    <t>Pomme de terre rissolé</t>
  </si>
  <si>
    <t>Jambon picard</t>
  </si>
  <si>
    <t>Carotte râpé</t>
  </si>
  <si>
    <t>Chipolata</t>
  </si>
  <si>
    <t>Lentille</t>
  </si>
  <si>
    <t>Nuggets</t>
  </si>
  <si>
    <t>Poêle campagnarde</t>
  </si>
  <si>
    <t>Céleri rémoulade</t>
  </si>
  <si>
    <t>Boulette de bœuf</t>
  </si>
  <si>
    <t>Tomate farcie</t>
  </si>
  <si>
    <t>Salade césar</t>
  </si>
  <si>
    <t>Blanc de poulet</t>
  </si>
  <si>
    <t>Haricots plat</t>
  </si>
  <si>
    <t>Salade de tomate</t>
  </si>
  <si>
    <t>Flan blette</t>
  </si>
  <si>
    <t>Macédoine de légume</t>
  </si>
  <si>
    <t>Poireaux</t>
  </si>
  <si>
    <t>Choux rouge</t>
  </si>
  <si>
    <t>Trippes</t>
  </si>
  <si>
    <t>Oeuf mayo</t>
  </si>
  <si>
    <t>Gratin de courgette a la viande</t>
  </si>
  <si>
    <t>Escalope de volaille</t>
  </si>
  <si>
    <t>Salade de betterave</t>
  </si>
  <si>
    <t>Gratin de pate au jambon</t>
  </si>
  <si>
    <t>Surimi</t>
  </si>
  <si>
    <t>Paupiette de volaille</t>
  </si>
  <si>
    <t>salade de Pâtess</t>
  </si>
  <si>
    <t>Pâtess Bolognaise</t>
  </si>
  <si>
    <t xml:space="preserve">Pâtess </t>
  </si>
  <si>
    <t>Pâtess au chorizo</t>
  </si>
  <si>
    <t>Salade de Pâtess</t>
  </si>
  <si>
    <t>Rougail saucisse</t>
  </si>
  <si>
    <t>Dos de colin</t>
  </si>
  <si>
    <t>Filet mignon de porc</t>
  </si>
  <si>
    <t>Coquille saint jacques</t>
  </si>
  <si>
    <t>Saucisson brioché</t>
  </si>
  <si>
    <t>Salade de pâtes</t>
  </si>
  <si>
    <t>Endive au jambon</t>
  </si>
  <si>
    <t>Cèleri rémoulade</t>
  </si>
  <si>
    <t>Poisson bordelaise</t>
  </si>
  <si>
    <t>Epinard a la florentine</t>
  </si>
  <si>
    <t>Salade composé</t>
  </si>
  <si>
    <t>Poêle de légumes</t>
  </si>
  <si>
    <t>Salade de pâtes composé</t>
  </si>
  <si>
    <t>Fêtes famille</t>
  </si>
  <si>
    <t>Roti de dinde</t>
  </si>
  <si>
    <t xml:space="preserve">Yaourt ou Fromage </t>
  </si>
  <si>
    <t xml:space="preserve">Fruit Cuit </t>
  </si>
  <si>
    <t>Crêpe au champignon</t>
  </si>
  <si>
    <t>Sot l'y laisse de dinde</t>
  </si>
  <si>
    <t>Filet de dorade</t>
  </si>
  <si>
    <t>saucisse sèche</t>
  </si>
  <si>
    <t>fromage</t>
  </si>
  <si>
    <t>fruit</t>
  </si>
  <si>
    <t>panseta</t>
  </si>
  <si>
    <t xml:space="preserve">Salade ebly </t>
  </si>
  <si>
    <t>donuts poulet</t>
  </si>
  <si>
    <t>cassoulet</t>
  </si>
  <si>
    <t>Tarte méditerranéenne</t>
  </si>
  <si>
    <t>Dos de loup</t>
  </si>
  <si>
    <t>Ratatouille</t>
  </si>
  <si>
    <t>Terrine tomate mozzarella basilic</t>
  </si>
  <si>
    <t>Fraise</t>
  </si>
  <si>
    <t xml:space="preserve">Sauté de lapin </t>
  </si>
  <si>
    <t>Hachis Parmentier de canard</t>
  </si>
  <si>
    <t>Pommes de terre sautées</t>
  </si>
  <si>
    <t>rostie</t>
  </si>
  <si>
    <t>coquille saint jacques</t>
  </si>
  <si>
    <t>supreme de vollaile</t>
  </si>
  <si>
    <t>perle</t>
  </si>
  <si>
    <t>courgette farcie</t>
  </si>
  <si>
    <t>Tarte meditéraenne</t>
  </si>
  <si>
    <t>gratin d'auphinois</t>
  </si>
  <si>
    <t>croque monsieur ou bouché a la reine</t>
  </si>
  <si>
    <t>boulette de bœuf</t>
  </si>
  <si>
    <t>Salade</t>
  </si>
  <si>
    <t>roti de porc</t>
  </si>
  <si>
    <t>blanquette de veau</t>
  </si>
  <si>
    <t>steack</t>
  </si>
  <si>
    <t>lasagne</t>
  </si>
  <si>
    <t>mache accompagné tartine chévre</t>
  </si>
  <si>
    <t>sourie agneaux</t>
  </si>
  <si>
    <t>cheesecake mangue</t>
  </si>
  <si>
    <t>donut poulet</t>
  </si>
  <si>
    <t>courgette</t>
  </si>
  <si>
    <t>salade haricots vert</t>
  </si>
  <si>
    <t>Sardine</t>
  </si>
  <si>
    <t>brandade de morru</t>
  </si>
  <si>
    <t>lasagne saumon</t>
  </si>
  <si>
    <t xml:space="preserve">tourte champignion </t>
  </si>
  <si>
    <t>tomate farci</t>
  </si>
  <si>
    <t>quenelle</t>
  </si>
  <si>
    <t xml:space="preserve">petit pois </t>
  </si>
  <si>
    <t>Feuillantine comtoise</t>
  </si>
  <si>
    <t>Boulette</t>
  </si>
  <si>
    <t>Pâtes bolo</t>
  </si>
  <si>
    <t>Hambuger</t>
  </si>
  <si>
    <t>filet de poulet</t>
  </si>
  <si>
    <t>tourte champignon</t>
  </si>
  <si>
    <t>salade de pois chiche</t>
  </si>
  <si>
    <t>Tomate a la russe ,salade</t>
  </si>
  <si>
    <t>escalope de volaile</t>
  </si>
  <si>
    <t>Jambon blanc</t>
  </si>
  <si>
    <t>choux fleur</t>
  </si>
  <si>
    <t>Melon</t>
  </si>
  <si>
    <t>œuf mayo</t>
  </si>
  <si>
    <t xml:space="preserve">Moule </t>
  </si>
  <si>
    <t>Pâté de campagne</t>
  </si>
  <si>
    <t>gratin de cougettes a la viande</t>
  </si>
  <si>
    <t>tomate provencal</t>
  </si>
  <si>
    <t>Pastéque</t>
  </si>
  <si>
    <t>haricots blanc</t>
  </si>
  <si>
    <t>Ratatouilles</t>
  </si>
  <si>
    <t>rôtis de bœuf</t>
  </si>
  <si>
    <t>paupiette de volaille</t>
  </si>
  <si>
    <t>Banane</t>
  </si>
  <si>
    <t>salade de riz</t>
  </si>
  <si>
    <t>Rôtis de porc froid</t>
  </si>
  <si>
    <t xml:space="preserve">pomme de terre </t>
  </si>
  <si>
    <t>salade ebly</t>
  </si>
  <si>
    <t>Tender de colin d'Alaska</t>
  </si>
  <si>
    <t>carotte rapées</t>
  </si>
  <si>
    <t>parmentier de canard</t>
  </si>
  <si>
    <t xml:space="preserve">salade verte </t>
  </si>
  <si>
    <t>salade pois chiche</t>
  </si>
  <si>
    <t>brochette de volaille</t>
  </si>
  <si>
    <t>pâte</t>
  </si>
  <si>
    <t>salade artichaut</t>
  </si>
  <si>
    <t>poireaux vinaigrette</t>
  </si>
  <si>
    <t>pate carbonara</t>
  </si>
  <si>
    <t>brochette de bœuf</t>
  </si>
  <si>
    <t>tenders de poulet</t>
  </si>
  <si>
    <t>terrine de legume</t>
  </si>
  <si>
    <t>mache</t>
  </si>
  <si>
    <t>Ravioli</t>
  </si>
  <si>
    <t>sauté de porc</t>
  </si>
  <si>
    <t>blette</t>
  </si>
  <si>
    <t>Paté au olive</t>
  </si>
  <si>
    <t>magret de canard</t>
  </si>
  <si>
    <t>pomme de terre sauté</t>
  </si>
  <si>
    <t>Paté croute</t>
  </si>
  <si>
    <t>Tomate mozza</t>
  </si>
  <si>
    <t>salade de perle</t>
  </si>
  <si>
    <t>courgette farci</t>
  </si>
  <si>
    <t>rapé de courgette</t>
  </si>
  <si>
    <t>roosbeef</t>
  </si>
  <si>
    <t>carotte vichy</t>
  </si>
  <si>
    <t>salade de pomme de terre</t>
  </si>
  <si>
    <t>fondu de poiraux</t>
  </si>
  <si>
    <t>jambon de pays</t>
  </si>
  <si>
    <t>pates</t>
  </si>
  <si>
    <t>salade de choux fleur</t>
  </si>
  <si>
    <t>cannelonie</t>
  </si>
  <si>
    <t>Bouché a le reine</t>
  </si>
  <si>
    <t>Salade composée</t>
  </si>
  <si>
    <t>salade de pates</t>
  </si>
  <si>
    <t>rosbeef froid</t>
  </si>
  <si>
    <t>haricots plats</t>
  </si>
  <si>
    <t>salade de lentille</t>
  </si>
  <si>
    <t>saucisse séche</t>
  </si>
  <si>
    <t>nems</t>
  </si>
  <si>
    <t>porc au caramel</t>
  </si>
  <si>
    <t>nouille chinoise</t>
  </si>
  <si>
    <t>poele de legume</t>
  </si>
  <si>
    <t xml:space="preserve"> dessert</t>
  </si>
  <si>
    <t>blanc de poulet</t>
  </si>
  <si>
    <t>jambon blanc</t>
  </si>
  <si>
    <t>poele de champignion</t>
  </si>
  <si>
    <t>Anneaux Encornet</t>
  </si>
  <si>
    <t>roti de porc froid</t>
  </si>
  <si>
    <t>pastéque</t>
  </si>
  <si>
    <t>sauté de lapin</t>
  </si>
  <si>
    <t>hachi parmentier</t>
  </si>
  <si>
    <t>coleslaw</t>
  </si>
  <si>
    <t>pâté campagne</t>
  </si>
  <si>
    <t>cèleri rémoulade</t>
  </si>
  <si>
    <t>carotte râpé</t>
  </si>
  <si>
    <t>bouchée a la reine</t>
  </si>
  <si>
    <t>feuilleté franc comtois</t>
  </si>
  <si>
    <t>dos de cabillaud</t>
  </si>
  <si>
    <t>brochette volaille</t>
  </si>
  <si>
    <t>jardinière de légumes</t>
  </si>
  <si>
    <t>tripes</t>
  </si>
  <si>
    <t>courgette farcie ronde</t>
  </si>
  <si>
    <t>gratin dauphinois</t>
  </si>
  <si>
    <t>choux farci</t>
  </si>
  <si>
    <t>religieuse</t>
  </si>
  <si>
    <t>tarte framboise</t>
  </si>
  <si>
    <t>sardine</t>
  </si>
  <si>
    <t>roti de veau</t>
  </si>
  <si>
    <t>coleslo</t>
  </si>
  <si>
    <t>nugets</t>
  </si>
  <si>
    <t>brandade</t>
  </si>
  <si>
    <t>carotte rapé</t>
  </si>
  <si>
    <t>Aubergine farcie</t>
  </si>
  <si>
    <t>haricots verts</t>
  </si>
  <si>
    <t>salade penne poulet</t>
  </si>
  <si>
    <t>Salade gourmande de céréales</t>
  </si>
  <si>
    <t>truffade cantal</t>
  </si>
  <si>
    <t>rotis de veau</t>
  </si>
  <si>
    <t>Hachi parmentier</t>
  </si>
  <si>
    <t>steack haché</t>
  </si>
  <si>
    <t>Coleslaw</t>
  </si>
  <si>
    <t>Tarte ognion</t>
  </si>
  <si>
    <t>Salade crétoise à la fêta</t>
  </si>
  <si>
    <t>Flan d'asperge carotte</t>
  </si>
  <si>
    <t>poelé de legume</t>
  </si>
  <si>
    <t>Sauté de porc</t>
  </si>
  <si>
    <t>paté campagne</t>
  </si>
  <si>
    <t xml:space="preserve">Aligot </t>
  </si>
  <si>
    <t>ommelette piperade</t>
  </si>
  <si>
    <t>sauté de volaille</t>
  </si>
  <si>
    <t>tomate antiboise</t>
  </si>
  <si>
    <t>gigot agneaux</t>
  </si>
  <si>
    <t>feuillé francomtois</t>
  </si>
  <si>
    <t>poireaux vignairette</t>
  </si>
  <si>
    <t>saumon</t>
  </si>
  <si>
    <t>pate a la bolo</t>
  </si>
  <si>
    <t>jardiniére de legume</t>
  </si>
  <si>
    <t>carrotte rapé</t>
  </si>
  <si>
    <t>trippe</t>
  </si>
  <si>
    <t>bouchee a la reine</t>
  </si>
  <si>
    <t>Salade pois chiche</t>
  </si>
  <si>
    <t xml:space="preserve">roti de porc </t>
  </si>
  <si>
    <t>epinard</t>
  </si>
  <si>
    <t>légume farcie</t>
  </si>
  <si>
    <t>crepe</t>
  </si>
  <si>
    <t>saussice</t>
  </si>
  <si>
    <t>tomate macedoine salade</t>
  </si>
  <si>
    <t xml:space="preserve">Rôtis de porc </t>
  </si>
  <si>
    <t>poelee de legumes</t>
  </si>
  <si>
    <t xml:space="preserve">cote de blette </t>
  </si>
  <si>
    <t xml:space="preserve">Pâtes </t>
  </si>
  <si>
    <t>poelé legumes</t>
  </si>
  <si>
    <t>salade pémontaise</t>
  </si>
  <si>
    <t>Salade de Pâtes</t>
  </si>
  <si>
    <t>tarte a l'oignon</t>
  </si>
  <si>
    <t>fish and ships</t>
  </si>
  <si>
    <t xml:space="preserve">rapé de pomme de terre </t>
  </si>
  <si>
    <t>Hachi parmentier canard</t>
  </si>
  <si>
    <t>gaudiveau</t>
  </si>
  <si>
    <t xml:space="preserve">sauté de veau </t>
  </si>
  <si>
    <t>Chou Fleur</t>
  </si>
  <si>
    <t xml:space="preserve">sauté de volaile </t>
  </si>
  <si>
    <t>Jambon de pays</t>
  </si>
  <si>
    <t>Gratin de courge</t>
  </si>
  <si>
    <t>Rôti de bœuf</t>
  </si>
  <si>
    <t>PDT, carottes, poireaux</t>
  </si>
  <si>
    <t>Salade d'endives aux noix</t>
  </si>
  <si>
    <t>Salade de haricots rouges</t>
  </si>
  <si>
    <t>Blanquette de dinde</t>
  </si>
  <si>
    <t>Carottes Vichy</t>
  </si>
  <si>
    <t>Épinards à la crème</t>
  </si>
  <si>
    <t>Salade verte composée</t>
  </si>
  <si>
    <t>Quiche lorraine</t>
  </si>
  <si>
    <t>Chou rouge râpé aux pommes</t>
  </si>
  <si>
    <t>Saucisse de volaille</t>
  </si>
  <si>
    <t>Dos de cabillaud</t>
  </si>
  <si>
    <t>Salade de mâche</t>
  </si>
  <si>
    <t>Terrine de campagne</t>
  </si>
  <si>
    <t>Suprême de poulet</t>
  </si>
  <si>
    <t>Betteraves vinaigrette</t>
  </si>
  <si>
    <t>Gigot d'agneau</t>
  </si>
  <si>
    <t>Salade de pâtes, poulet et pesto</t>
  </si>
  <si>
    <t>Paupiette de veau</t>
  </si>
  <si>
    <t>Petits pois</t>
  </si>
  <si>
    <t>Hachis Parmentier</t>
  </si>
  <si>
    <t>Croque-monsieur</t>
  </si>
  <si>
    <t>Aubergines à la parmesane</t>
  </si>
  <si>
    <t>Purée de brocolis</t>
  </si>
  <si>
    <t>Sauté de porc aux pruneaux</t>
  </si>
  <si>
    <t>Salade verte aux croûtons et gésiers</t>
  </si>
  <si>
    <t>Riz cantonais</t>
  </si>
  <si>
    <t>Macédoine mayonnaise</t>
  </si>
  <si>
    <t>Röstis</t>
  </si>
  <si>
    <t>Rôti de dinde</t>
  </si>
  <si>
    <t>Chou-fleur</t>
  </si>
  <si>
    <t>Salade de lentilles vinaigrette</t>
  </si>
  <si>
    <t>Jambon braisé</t>
  </si>
  <si>
    <t>Purée de pommes de terre</t>
  </si>
  <si>
    <t>Pavé de saumon</t>
  </si>
  <si>
    <t>Riz safrané</t>
  </si>
  <si>
    <t>Tarte au fromage</t>
  </si>
  <si>
    <t>Escalope à l'italienne</t>
  </si>
  <si>
    <t>Sauté d'agneau</t>
  </si>
  <si>
    <t>Gratin de courgettes</t>
  </si>
  <si>
    <t>Haricots blancs</t>
  </si>
  <si>
    <t>Salade de betteraves et maïs</t>
  </si>
  <si>
    <t>Rôti de bœuf sauce au poivre</t>
  </si>
  <si>
    <t>Gratin de pommes de terre</t>
  </si>
  <si>
    <t>Pois chiches</t>
  </si>
  <si>
    <t>Crêpes salées</t>
  </si>
  <si>
    <t>Paupiette de veau sauce tomate</t>
  </si>
  <si>
    <t>Haricots plats</t>
  </si>
  <si>
    <t>Chou chinois</t>
  </si>
  <si>
    <t>Bœuf aux oignons</t>
  </si>
  <si>
    <t>Nouilles chinoises</t>
  </si>
  <si>
    <t>Poêlée de champignons</t>
  </si>
  <si>
    <t>Terrine de poisson</t>
  </si>
  <si>
    <t>Cuisse de pintade</t>
  </si>
  <si>
    <t>Purée de châtaignes et pommes de terre</t>
  </si>
  <si>
    <t>Pomme de terre farcie</t>
  </si>
  <si>
    <t>Salade de pommes de terre à l'échalote</t>
  </si>
  <si>
    <t>Saucisse</t>
  </si>
  <si>
    <t>Fondue de poireaux</t>
  </si>
  <si>
    <t>Sot-l'y-laisse de dinde à la crème</t>
  </si>
  <si>
    <t>Charcuterie</t>
  </si>
  <si>
    <t>Tarte à l'oignon</t>
  </si>
  <si>
    <t>Œufs durs sauce béchamel</t>
  </si>
  <si>
    <t>Épinards en branches</t>
  </si>
  <si>
    <t>Salade de mâche aux noix</t>
  </si>
  <si>
    <t>Petits pois et carottes</t>
  </si>
  <si>
    <t>Lasagnes</t>
  </si>
  <si>
    <t>Maquereau</t>
  </si>
  <si>
    <t>Chou-fleur persillé</t>
  </si>
  <si>
    <t>Endives au bleu et aux noix</t>
  </si>
  <si>
    <t>Sauté de porc au curry doux</t>
  </si>
  <si>
    <t>Blanquette de veau</t>
  </si>
  <si>
    <t>Pommes de terre</t>
  </si>
  <si>
    <t>Jambon blanc braisé</t>
  </si>
  <si>
    <t>Purée de potiron</t>
  </si>
  <si>
    <t>Pâtes au pesto</t>
  </si>
  <si>
    <t>Lasagne au saumon</t>
  </si>
  <si>
    <t>Saucisse de Toulouse</t>
  </si>
  <si>
    <t>Choux de Bruxelles</t>
  </si>
  <si>
    <t>Chou rouge râpé</t>
  </si>
  <si>
    <t>Quiche au thon</t>
  </si>
  <si>
    <t>Salade de fruit</t>
  </si>
  <si>
    <t xml:space="preserve">Écrasé de pommes de terre </t>
  </si>
  <si>
    <t>Salade de pommes de terre</t>
  </si>
  <si>
    <t>Salade de choux rouge aux pommes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</si>
</sst>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-mmm;@"/>
    <numFmt numFmtId="165" formatCode="[$-40C]d\-mmm\-yy;@"/>
  </numFmts>
  <fonts count="23" x14ac:knownFonts="1">
    <font>
      <sz val="11"/>
      <color theme="1"/>
      <name val="Calibri"/>
      <family val="2"/>
      <scheme val="minor"/>
    </font>
    <font>
      <b/>
      <sz val="12"/>
      <name val="Palatino Linotype"/>
      <family val="1"/>
    </font>
    <font>
      <b/>
      <sz val="12"/>
      <name val="Agency FB"/>
      <family val="2"/>
    </font>
    <font>
      <b/>
      <sz val="14"/>
      <name val="Monotype Corsiva"/>
      <family val="4"/>
    </font>
    <font>
      <sz val="8"/>
      <name val="Calibri"/>
      <family val="2"/>
      <scheme val="minor"/>
    </font>
    <font>
      <b/>
      <sz val="14"/>
      <color theme="1"/>
      <name val="Monotype Corsiva"/>
      <family val="4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rgb="FF0070C0"/>
      <name val="MV Boli"/>
    </font>
    <font>
      <b/>
      <sz val="12"/>
      <color rgb="FF0070C0"/>
      <name val="Magneto"/>
      <family val="5"/>
    </font>
    <font>
      <b/>
      <sz val="12"/>
      <color theme="1"/>
      <name val="Calibri"/>
      <family val="2"/>
      <scheme val="minor"/>
    </font>
    <font>
      <b/>
      <sz val="24"/>
      <color rgb="FF0070C0"/>
      <name val="Magneto"/>
      <family val="5"/>
    </font>
    <font>
      <b/>
      <sz val="14"/>
      <color rgb="FF0070C0"/>
      <name val="Palatino Linotype"/>
      <family val="1"/>
    </font>
    <font>
      <b/>
      <sz val="14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4"/>
      <name val="Palatino Linotype"/>
      <family val="1"/>
    </font>
    <font>
      <b/>
      <sz val="14"/>
      <color theme="4"/>
      <name val="Calibri"/>
      <family val="2"/>
      <scheme val="minor"/>
    </font>
    <font>
      <b/>
      <sz val="14"/>
      <color rgb="FFFF0000"/>
      <name val="Palatino Linotype"/>
      <family val="1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2" borderId="16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0" xfId="0" applyFont="1"/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10" fillId="0" borderId="0" xfId="0" applyFont="1"/>
    <xf numFmtId="0" fontId="11" fillId="0" borderId="0" xfId="0" applyFont="1" applyAlignment="1">
      <alignment horizontal="centerContinuous" vertical="center"/>
    </xf>
    <xf numFmtId="0" fontId="14" fillId="0" borderId="0" xfId="0" applyFont="1"/>
    <xf numFmtId="0" fontId="15" fillId="0" borderId="0" xfId="0" applyFont="1"/>
    <xf numFmtId="0" fontId="13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4" fontId="12" fillId="2" borderId="22" xfId="0" applyNumberFormat="1" applyFont="1" applyFill="1" applyBorder="1" applyAlignment="1">
      <alignment horizontal="center" vertical="center"/>
    </xf>
    <xf numFmtId="0" fontId="0" fillId="0" borderId="23" xfId="0" applyBorder="1"/>
    <xf numFmtId="0" fontId="12" fillId="2" borderId="2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14" fontId="16" fillId="0" borderId="23" xfId="0" applyNumberFormat="1" applyFont="1" applyBorder="1" applyAlignment="1">
      <alignment horizontal="center" vertical="center"/>
    </xf>
    <xf numFmtId="14" fontId="17" fillId="0" borderId="22" xfId="0" applyNumberFormat="1" applyFont="1" applyBorder="1" applyAlignment="1">
      <alignment horizontal="center"/>
    </xf>
    <xf numFmtId="14" fontId="18" fillId="2" borderId="22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14" fontId="12" fillId="2" borderId="23" xfId="0" applyNumberFormat="1" applyFont="1" applyFill="1" applyBorder="1" applyAlignment="1">
      <alignment horizontal="center" vertical="center"/>
    </xf>
    <xf numFmtId="0" fontId="0" fillId="0" borderId="0" xfId="0" applyBorder="1"/>
    <xf numFmtId="0" fontId="10" fillId="0" borderId="0" xfId="0" applyFont="1" applyBorder="1"/>
    <xf numFmtId="0" fontId="19" fillId="0" borderId="22" xfId="0" applyFont="1" applyFill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9" fillId="2" borderId="17" xfId="1" applyFont="1" applyFill="1" applyBorder="1" applyAlignment="1">
      <alignment horizontal="center" vertical="center"/>
    </xf>
    <xf numFmtId="0" fontId="19" fillId="2" borderId="15" xfId="1" applyFont="1" applyFill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9" fillId="0" borderId="17" xfId="1" applyFont="1" applyFill="1" applyBorder="1" applyAlignment="1">
      <alignment horizontal="center" vertical="center"/>
    </xf>
    <xf numFmtId="0" fontId="19" fillId="0" borderId="0" xfId="1" applyFont="1" applyFill="1" applyAlignment="1">
      <alignment horizontal="center" vertical="center"/>
    </xf>
    <xf numFmtId="0" fontId="19" fillId="0" borderId="15" xfId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/>
    </xf>
    <xf numFmtId="20" fontId="19" fillId="0" borderId="0" xfId="1" applyNumberFormat="1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2" borderId="29" xfId="1" applyFont="1" applyFill="1" applyBorder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30" xfId="1" applyFont="1" applyBorder="1" applyAlignment="1">
      <alignment horizontal="center" vertical="center"/>
    </xf>
    <xf numFmtId="0" fontId="19" fillId="2" borderId="30" xfId="1" applyFont="1" applyFill="1" applyBorder="1" applyAlignment="1">
      <alignment horizontal="center" vertical="center"/>
    </xf>
    <xf numFmtId="0" fontId="19" fillId="2" borderId="17" xfId="1" applyFont="1" applyFill="1" applyBorder="1" applyAlignment="1">
      <alignment horizontal="center" vertical="center" wrapText="1"/>
    </xf>
    <xf numFmtId="0" fontId="22" fillId="0" borderId="8" xfId="1" applyFont="1" applyBorder="1" applyAlignment="1">
      <alignment horizontal="center" vertical="center"/>
    </xf>
    <xf numFmtId="0" fontId="22" fillId="0" borderId="15" xfId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2">
    <cellStyle name="Normal" xfId="0" builtinId="0"/>
    <cellStyle name="Normal 2" xfId="1" xr:uid="{5596E483-A981-4728-BEE9-F6D9DF6B1344}"/>
  </cellStyles>
  <dxfs count="0"/>
  <tableStyles count="0" defaultTableStyle="TableStyleMedium2" defaultPivotStyle="PivotStyleLight16"/>
  <colors>
    <mruColors>
      <color rgb="FF644300"/>
      <color rgb="FFE98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7D1D-F6B5-4E56-AC96-572978238F98}">
  <sheetPr codeName="Feuil1">
    <tabColor rgb="FF00B050"/>
    <pageSetUpPr fitToPage="1"/>
  </sheetPr>
  <dimension ref="A1:E38"/>
  <sheetViews>
    <sheetView workbookViewId="0">
      <selection activeCell="D23" sqref="D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46377</v>
      </c>
      <c r="D1" s="39" t="s">
        <v>1</v>
      </c>
      <c r="E1" s="40">
        <f>A35</f>
        <v>46383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/>
      <c r="C3" s="16"/>
      <c r="D3" s="54"/>
      <c r="E3" s="11"/>
    </row>
    <row r="4" spans="1:5" ht="15.6" customHeight="1" x14ac:dyDescent="0.25">
      <c r="A4" s="47" t="s">
        <v>5</v>
      </c>
      <c r="B4" s="15"/>
      <c r="C4" s="52"/>
      <c r="D4" s="55"/>
      <c r="E4" s="12"/>
    </row>
    <row r="5" spans="1:5" ht="15.6" customHeight="1" x14ac:dyDescent="0.25">
      <c r="A5" s="48">
        <f>'semaine 52'!A5</f>
        <v>46377</v>
      </c>
      <c r="B5" s="15"/>
      <c r="C5" s="52"/>
      <c r="D5" s="55"/>
      <c r="E5" s="12"/>
    </row>
    <row r="6" spans="1:5" ht="15.6" customHeight="1" x14ac:dyDescent="0.25">
      <c r="A6" s="49"/>
      <c r="B6" s="57"/>
      <c r="C6" s="52"/>
      <c r="D6" s="55"/>
      <c r="E6" s="12"/>
    </row>
    <row r="7" spans="1:5" ht="15.6" customHeight="1" thickBot="1" x14ac:dyDescent="0.3">
      <c r="A7" s="47"/>
      <c r="B7" s="15"/>
      <c r="C7" s="52"/>
      <c r="D7" s="55"/>
      <c r="E7" s="12"/>
    </row>
    <row r="8" spans="1:5" ht="15.6" customHeight="1" x14ac:dyDescent="0.25">
      <c r="A8" s="50"/>
      <c r="B8" s="16"/>
      <c r="C8" s="16"/>
      <c r="D8" s="54"/>
      <c r="E8" s="11"/>
    </row>
    <row r="9" spans="1:5" ht="15.6" customHeight="1" x14ac:dyDescent="0.25">
      <c r="A9" s="47" t="s">
        <v>7</v>
      </c>
      <c r="B9" s="15"/>
      <c r="C9" s="52"/>
      <c r="D9" s="55"/>
      <c r="E9" s="12"/>
    </row>
    <row r="10" spans="1:5" ht="15.6" customHeight="1" x14ac:dyDescent="0.25">
      <c r="A10" s="48">
        <f>A5+1</f>
        <v>46378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/>
      <c r="E11" s="12"/>
    </row>
    <row r="12" spans="1:5" ht="15.6" customHeight="1" thickBot="1" x14ac:dyDescent="0.3">
      <c r="A12" s="47"/>
      <c r="B12" s="15"/>
      <c r="C12" s="52"/>
      <c r="D12" s="55"/>
      <c r="E12" s="12"/>
    </row>
    <row r="13" spans="1:5" ht="15.6" customHeight="1" x14ac:dyDescent="0.25">
      <c r="A13" s="50"/>
      <c r="B13" s="14"/>
      <c r="C13" s="16"/>
      <c r="D13" s="54"/>
      <c r="E13" s="11"/>
    </row>
    <row r="14" spans="1:5" ht="15.6" customHeight="1" x14ac:dyDescent="0.25">
      <c r="A14" s="47" t="s">
        <v>9</v>
      </c>
      <c r="B14" s="15"/>
      <c r="C14" s="52"/>
      <c r="D14" s="55"/>
      <c r="E14" s="12"/>
    </row>
    <row r="15" spans="1:5" ht="15.6" customHeight="1" x14ac:dyDescent="0.25">
      <c r="A15" s="48">
        <f>A10+1</f>
        <v>46379</v>
      </c>
      <c r="B15" s="15"/>
      <c r="C15" s="52"/>
      <c r="D15" s="55"/>
      <c r="E15" s="12"/>
    </row>
    <row r="16" spans="1:5" ht="15.6" customHeight="1" x14ac:dyDescent="0.25">
      <c r="A16" s="47"/>
      <c r="B16" s="15"/>
      <c r="C16" s="52"/>
      <c r="D16" s="55"/>
      <c r="E16" s="12"/>
    </row>
    <row r="17" spans="1:5" ht="15.6" customHeight="1" thickBot="1" x14ac:dyDescent="0.3">
      <c r="A17" s="47"/>
      <c r="B17" s="15"/>
      <c r="C17" s="52"/>
      <c r="D17" s="55"/>
      <c r="E17" s="13"/>
    </row>
    <row r="18" spans="1:5" ht="15.6" customHeight="1" x14ac:dyDescent="0.25">
      <c r="A18" s="50"/>
      <c r="B18" s="14"/>
      <c r="C18" s="16"/>
      <c r="D18" s="54"/>
      <c r="E18" s="12"/>
    </row>
    <row r="19" spans="1:5" ht="15.6" customHeight="1" x14ac:dyDescent="0.25">
      <c r="A19" s="47" t="s">
        <v>10</v>
      </c>
      <c r="B19" s="15"/>
      <c r="C19" s="52"/>
      <c r="D19" s="55"/>
      <c r="E19" s="12"/>
    </row>
    <row r="20" spans="1:5" ht="15.6" customHeight="1" x14ac:dyDescent="0.25">
      <c r="A20" s="48">
        <f>A15+1</f>
        <v>46380</v>
      </c>
      <c r="B20" s="15"/>
      <c r="C20" s="52"/>
      <c r="D20" s="55"/>
      <c r="E20" s="12"/>
    </row>
    <row r="21" spans="1:5" ht="15.6" customHeight="1" x14ac:dyDescent="0.25">
      <c r="A21" s="47"/>
      <c r="B21" s="15"/>
      <c r="C21" s="52"/>
      <c r="D21" s="55"/>
      <c r="E21" s="12"/>
    </row>
    <row r="22" spans="1:5" ht="15.6" customHeight="1" thickBot="1" x14ac:dyDescent="0.3">
      <c r="A22" s="47"/>
      <c r="B22" s="15"/>
      <c r="C22" s="52"/>
      <c r="D22" s="55"/>
      <c r="E22" s="12"/>
    </row>
    <row r="23" spans="1:5" ht="15.6" customHeight="1" x14ac:dyDescent="0.25">
      <c r="A23" s="50"/>
      <c r="B23" s="14"/>
      <c r="C23" s="16"/>
      <c r="D23" s="54"/>
      <c r="E23" s="11"/>
    </row>
    <row r="24" spans="1:5" ht="15.6" customHeight="1" x14ac:dyDescent="0.25">
      <c r="A24" s="47" t="s">
        <v>15</v>
      </c>
      <c r="B24" s="15"/>
      <c r="C24" s="52"/>
      <c r="D24" s="55"/>
      <c r="E24" s="12"/>
    </row>
    <row r="25" spans="1:5" ht="15.6" customHeight="1" x14ac:dyDescent="0.25">
      <c r="A25" s="48">
        <f>A20+1</f>
        <v>46381</v>
      </c>
      <c r="B25" s="15"/>
      <c r="C25" s="52"/>
      <c r="D25" s="55"/>
      <c r="E25" s="12"/>
    </row>
    <row r="26" spans="1:5" ht="15.6" customHeight="1" x14ac:dyDescent="0.25">
      <c r="A26" s="47"/>
      <c r="B26" s="15"/>
      <c r="C26" s="52"/>
      <c r="D26" s="55"/>
      <c r="E26" s="12"/>
    </row>
    <row r="27" spans="1:5" ht="15.6" customHeight="1" thickBot="1" x14ac:dyDescent="0.3">
      <c r="A27" s="47"/>
      <c r="B27" s="15"/>
      <c r="C27" s="52"/>
      <c r="D27" s="55"/>
      <c r="E27" s="13"/>
    </row>
    <row r="28" spans="1:5" ht="15.6" customHeight="1" x14ac:dyDescent="0.25">
      <c r="A28" s="50"/>
      <c r="B28" s="14"/>
      <c r="C28" s="16"/>
      <c r="D28" s="54"/>
      <c r="E28" s="12"/>
    </row>
    <row r="29" spans="1:5" ht="15.6" customHeight="1" x14ac:dyDescent="0.25">
      <c r="A29" s="47" t="s">
        <v>17</v>
      </c>
      <c r="B29" s="15"/>
      <c r="C29" s="52"/>
      <c r="D29" s="55"/>
      <c r="E29" s="12"/>
    </row>
    <row r="30" spans="1:5" ht="15.6" customHeight="1" x14ac:dyDescent="0.25">
      <c r="A30" s="48">
        <f>A25+1</f>
        <v>46382</v>
      </c>
      <c r="B30" s="15"/>
      <c r="C30" s="52"/>
      <c r="D30" s="55"/>
      <c r="E30" s="12"/>
    </row>
    <row r="31" spans="1:5" ht="15" customHeight="1" x14ac:dyDescent="0.25">
      <c r="A31" s="47"/>
      <c r="B31" s="15"/>
      <c r="C31" s="52"/>
      <c r="D31" s="55"/>
      <c r="E31" s="12"/>
    </row>
    <row r="32" spans="1:5" ht="15" customHeight="1" thickBot="1" x14ac:dyDescent="0.3">
      <c r="A32" s="51"/>
      <c r="B32" s="15"/>
      <c r="C32" s="52"/>
      <c r="D32" s="56"/>
      <c r="E32" s="12"/>
    </row>
    <row r="33" spans="1:5" ht="15" customHeight="1" x14ac:dyDescent="0.25">
      <c r="A33" s="50"/>
      <c r="B33" s="14"/>
      <c r="C33" s="16"/>
      <c r="D33" s="54"/>
      <c r="E33" s="11"/>
    </row>
    <row r="34" spans="1:5" ht="15" customHeight="1" x14ac:dyDescent="0.25">
      <c r="A34" s="47" t="s">
        <v>21</v>
      </c>
      <c r="B34" s="15"/>
      <c r="C34" s="52"/>
      <c r="D34" s="55"/>
      <c r="E34" s="12"/>
    </row>
    <row r="35" spans="1:5" ht="15" customHeight="1" x14ac:dyDescent="0.25">
      <c r="A35" s="48">
        <f>A30+1</f>
        <v>46383</v>
      </c>
      <c r="B35" s="15"/>
      <c r="C35" s="52"/>
      <c r="D35" s="55"/>
      <c r="E35" s="12"/>
    </row>
    <row r="36" spans="1:5" ht="15" customHeight="1" x14ac:dyDescent="0.25">
      <c r="A36" s="47"/>
      <c r="B36" s="15"/>
      <c r="C36" s="52"/>
      <c r="D36" s="55"/>
      <c r="E36" s="12"/>
    </row>
    <row r="37" spans="1:5" ht="15" customHeight="1" thickBot="1" x14ac:dyDescent="0.3">
      <c r="A37" s="51"/>
      <c r="B37" s="17"/>
      <c r="C37" s="53"/>
      <c r="D37" s="56"/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C8EF-FDB9-4647-B172-23208EC4C21D}">
  <sheetPr codeName="Feuil2">
    <tabColor rgb="FF00B0F0"/>
  </sheetPr>
  <dimension ref="A1:I38"/>
  <sheetViews>
    <sheetView zoomScaleNormal="100" zoomScalePageLayoutView="55" workbookViewId="0">
      <selection activeCell="D7" sqref="D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46384</v>
      </c>
      <c r="D1" s="39" t="s">
        <v>1</v>
      </c>
      <c r="E1" s="40">
        <f>A35</f>
        <v>46390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176</v>
      </c>
      <c r="C3" s="16"/>
      <c r="D3" s="54" t="s">
        <v>268</v>
      </c>
      <c r="E3" s="11"/>
    </row>
    <row r="4" spans="1:5" ht="15.6" customHeight="1" x14ac:dyDescent="0.25">
      <c r="A4" s="47" t="s">
        <v>5</v>
      </c>
      <c r="B4" s="15" t="s">
        <v>266</v>
      </c>
      <c r="C4" s="52" t="s">
        <v>6</v>
      </c>
      <c r="D4" s="55" t="s">
        <v>97</v>
      </c>
      <c r="E4" s="12" t="s">
        <v>6</v>
      </c>
    </row>
    <row r="5" spans="1:5" ht="15.6" customHeight="1" x14ac:dyDescent="0.25">
      <c r="B5" s="57" t="s">
        <v>267</v>
      </c>
      <c r="C5" s="52"/>
      <c r="D5" s="55" t="s">
        <v>269</v>
      </c>
      <c r="E5" s="12"/>
    </row>
    <row r="6" spans="1:5" ht="15.6" customHeight="1" x14ac:dyDescent="0.25">
      <c r="A6" s="48">
        <f>'semaine 52 n-1'!A35+1</f>
        <v>46384</v>
      </c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270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271</v>
      </c>
      <c r="C9" s="52" t="s">
        <v>6</v>
      </c>
      <c r="D9" s="55" t="s">
        <v>272</v>
      </c>
      <c r="E9" s="12"/>
    </row>
    <row r="10" spans="1:5" ht="15.6" customHeight="1" x14ac:dyDescent="0.25">
      <c r="A10" s="48">
        <f>A6+1</f>
        <v>46385</v>
      </c>
      <c r="B10" s="15"/>
      <c r="C10" s="52"/>
      <c r="D10" s="55" t="s">
        <v>273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142</v>
      </c>
      <c r="C13" s="16"/>
      <c r="D13" s="54" t="s">
        <v>261</v>
      </c>
      <c r="E13" s="11"/>
    </row>
    <row r="14" spans="1:5" ht="15.6" customHeight="1" x14ac:dyDescent="0.25">
      <c r="A14" s="47" t="s">
        <v>9</v>
      </c>
      <c r="B14" s="15" t="s">
        <v>274</v>
      </c>
      <c r="C14" s="52" t="s">
        <v>6</v>
      </c>
      <c r="D14" s="55" t="s">
        <v>262</v>
      </c>
      <c r="E14" s="12"/>
    </row>
    <row r="15" spans="1:5" ht="15.6" customHeight="1" x14ac:dyDescent="0.25">
      <c r="A15" s="48">
        <f>A10+1</f>
        <v>46386</v>
      </c>
      <c r="B15" s="15" t="s">
        <v>82</v>
      </c>
      <c r="C15" s="52"/>
      <c r="D15" s="55" t="s">
        <v>263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144</v>
      </c>
      <c r="E16" s="12"/>
    </row>
    <row r="17" spans="1:9" ht="15.6" customHeight="1" thickBot="1" x14ac:dyDescent="0.3">
      <c r="A17" s="47"/>
      <c r="B17" s="15" t="s">
        <v>86</v>
      </c>
      <c r="C17" s="52"/>
      <c r="D17" s="55" t="s">
        <v>264</v>
      </c>
      <c r="E17" s="13"/>
    </row>
    <row r="18" spans="1:9" ht="15.6" customHeight="1" x14ac:dyDescent="0.25">
      <c r="A18" s="50"/>
      <c r="B18" s="14" t="s">
        <v>256</v>
      </c>
      <c r="C18" s="16"/>
      <c r="D18" s="54" t="s">
        <v>258</v>
      </c>
      <c r="E18" s="12"/>
    </row>
    <row r="19" spans="1:9" ht="15.6" customHeight="1" x14ac:dyDescent="0.25">
      <c r="A19" s="47" t="s">
        <v>10</v>
      </c>
      <c r="B19" s="15" t="s">
        <v>255</v>
      </c>
      <c r="C19" s="52" t="s">
        <v>6</v>
      </c>
      <c r="D19" s="55" t="s">
        <v>94</v>
      </c>
      <c r="E19" s="12"/>
    </row>
    <row r="20" spans="1:9" ht="15.6" customHeight="1" x14ac:dyDescent="0.25">
      <c r="A20" s="48">
        <f>A15+1</f>
        <v>46387</v>
      </c>
      <c r="B20" s="15" t="s">
        <v>257</v>
      </c>
      <c r="C20" s="52"/>
      <c r="D20" s="55" t="s">
        <v>275</v>
      </c>
      <c r="E20" s="12"/>
    </row>
    <row r="21" spans="1:9" ht="15.6" customHeight="1" x14ac:dyDescent="0.25">
      <c r="A21" s="47"/>
      <c r="B21" s="15" t="s">
        <v>23</v>
      </c>
      <c r="C21" s="52"/>
      <c r="D21" s="55" t="s">
        <v>69</v>
      </c>
      <c r="E21" s="12"/>
      <c r="I21" t="s">
        <v>26</v>
      </c>
    </row>
    <row r="22" spans="1:9" ht="15.6" customHeight="1" thickBot="1" x14ac:dyDescent="0.3">
      <c r="A22" s="47"/>
      <c r="B22" s="15" t="s">
        <v>321</v>
      </c>
      <c r="C22" s="52"/>
      <c r="D22" s="55" t="s">
        <v>86</v>
      </c>
      <c r="E22" s="12"/>
    </row>
    <row r="23" spans="1:9" ht="15.6" customHeight="1" x14ac:dyDescent="0.25">
      <c r="A23" s="50"/>
      <c r="B23" s="14" t="s">
        <v>165</v>
      </c>
      <c r="C23" s="16"/>
      <c r="D23" s="54" t="s">
        <v>277</v>
      </c>
      <c r="E23" s="11"/>
    </row>
    <row r="24" spans="1:9" ht="15.6" customHeight="1" x14ac:dyDescent="0.25">
      <c r="A24" s="47" t="s">
        <v>15</v>
      </c>
      <c r="B24" s="15" t="s">
        <v>276</v>
      </c>
      <c r="C24" s="52"/>
      <c r="D24" s="55" t="s">
        <v>278</v>
      </c>
      <c r="E24" s="12"/>
    </row>
    <row r="25" spans="1:9" ht="15.6" customHeight="1" x14ac:dyDescent="0.25">
      <c r="A25" s="48">
        <f>A20+1</f>
        <v>46388</v>
      </c>
      <c r="B25" s="15" t="s">
        <v>77</v>
      </c>
      <c r="C25" s="52"/>
      <c r="D25" s="55" t="s">
        <v>22</v>
      </c>
      <c r="E25" s="12"/>
    </row>
    <row r="26" spans="1:9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9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9" ht="15.6" customHeight="1" x14ac:dyDescent="0.25">
      <c r="A28" s="50"/>
      <c r="B28" s="14" t="s">
        <v>408</v>
      </c>
      <c r="C28" s="16"/>
      <c r="D28" s="54" t="s">
        <v>88</v>
      </c>
      <c r="E28" s="12"/>
    </row>
    <row r="29" spans="1:9" ht="15.6" customHeight="1" x14ac:dyDescent="0.25">
      <c r="A29" s="47" t="s">
        <v>17</v>
      </c>
      <c r="B29" s="15" t="s">
        <v>279</v>
      </c>
      <c r="C29" s="52" t="s">
        <v>6</v>
      </c>
      <c r="D29" s="55" t="s">
        <v>281</v>
      </c>
      <c r="E29" s="12" t="s">
        <v>6</v>
      </c>
    </row>
    <row r="30" spans="1:9" ht="15.6" customHeight="1" x14ac:dyDescent="0.25">
      <c r="A30" s="48">
        <f>A25+1</f>
        <v>46389</v>
      </c>
      <c r="B30" s="15" t="s">
        <v>280</v>
      </c>
      <c r="C30" s="52"/>
      <c r="D30" s="55"/>
      <c r="E30" s="12"/>
    </row>
    <row r="31" spans="1:9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9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152</v>
      </c>
      <c r="E33" s="11"/>
    </row>
    <row r="34" spans="1:5" ht="15" customHeight="1" x14ac:dyDescent="0.25">
      <c r="A34" s="47" t="s">
        <v>21</v>
      </c>
      <c r="B34" s="15" t="s">
        <v>282</v>
      </c>
      <c r="C34" s="52" t="s">
        <v>6</v>
      </c>
      <c r="D34" s="55" t="s">
        <v>283</v>
      </c>
      <c r="E34" s="12" t="s">
        <v>6</v>
      </c>
    </row>
    <row r="35" spans="1:5" ht="15" customHeight="1" x14ac:dyDescent="0.25">
      <c r="A35" s="48">
        <f>A30+1</f>
        <v>46390</v>
      </c>
      <c r="B35" s="15" t="s">
        <v>63</v>
      </c>
      <c r="C35" s="52"/>
      <c r="D35" s="55" t="s">
        <v>284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26A-2E30-44C1-A170-91D43FCD0947}">
  <sheetPr codeName="Feuil3">
    <tabColor rgb="FF00B0F0"/>
    <pageSetUpPr fitToPage="1"/>
  </sheetPr>
  <dimension ref="A1:E38"/>
  <sheetViews>
    <sheetView workbookViewId="0">
      <selection activeCell="C2" sqref="C2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46391</v>
      </c>
      <c r="D1" s="39" t="s">
        <v>1</v>
      </c>
      <c r="E1" s="40">
        <f>A35</f>
        <v>46397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3">
      <c r="A5" s="59"/>
      <c r="B5" s="57" t="s">
        <v>85</v>
      </c>
      <c r="C5" s="52"/>
      <c r="D5" s="55"/>
      <c r="E5" s="12"/>
    </row>
    <row r="6" spans="1:5" ht="15.6" customHeight="1" x14ac:dyDescent="0.25">
      <c r="A6" s="48">
        <f>'semaine 1'!A35+1</f>
        <v>46391</v>
      </c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A6+1</f>
        <v>46392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285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46393</v>
      </c>
      <c r="B15" s="15" t="s">
        <v>74</v>
      </c>
      <c r="C15" s="52"/>
      <c r="D15" s="55"/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5" ht="15.6" customHeight="1" x14ac:dyDescent="0.25">
      <c r="A20" s="48">
        <f>A15+1</f>
        <v>46394</v>
      </c>
      <c r="B20" s="15" t="s">
        <v>180</v>
      </c>
      <c r="C20" s="52"/>
      <c r="D20" s="55" t="s">
        <v>140</v>
      </c>
      <c r="E20" s="12"/>
    </row>
    <row r="21" spans="1:5" ht="15.6" customHeight="1" x14ac:dyDescent="0.25">
      <c r="A21" s="47"/>
      <c r="B21" s="15"/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5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5" ht="15.6" customHeight="1" x14ac:dyDescent="0.25">
      <c r="A25" s="48">
        <f>A20+1</f>
        <v>46395</v>
      </c>
      <c r="B25" s="15" t="s">
        <v>184</v>
      </c>
      <c r="C25" s="52"/>
      <c r="D25" s="55"/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5" ht="15.6" customHeight="1" x14ac:dyDescent="0.25">
      <c r="A30" s="48">
        <f>A25+1</f>
        <v>46396</v>
      </c>
      <c r="B30" s="15"/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286</v>
      </c>
      <c r="E34" s="12"/>
    </row>
    <row r="35" spans="1:5" ht="15" customHeight="1" x14ac:dyDescent="0.25">
      <c r="A35" s="48">
        <f>A30+1</f>
        <v>46397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473D-4B9E-4CAA-A448-CAA5E2572E19}">
  <sheetPr codeName="Feuil4">
    <tabColor rgb="FF00B0F0"/>
  </sheetPr>
  <dimension ref="A1:E38"/>
  <sheetViews>
    <sheetView zoomScale="85" zoomScaleNormal="85" workbookViewId="0">
      <selection activeCell="E5" sqref="E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45669</v>
      </c>
      <c r="D1" s="39" t="s">
        <v>1</v>
      </c>
      <c r="E1" s="40">
        <f>A35</f>
        <v>45675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v>45669</v>
      </c>
      <c r="B5" s="20" t="s">
        <v>193</v>
      </c>
      <c r="C5" s="21"/>
      <c r="D5" s="24" t="s">
        <v>101</v>
      </c>
      <c r="E5" s="21"/>
    </row>
    <row r="6" spans="1:5" ht="15.6" customHeight="1" x14ac:dyDescent="0.25">
      <c r="A6" s="49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45670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45671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45672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45673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45674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6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204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45675</v>
      </c>
      <c r="B35" s="20" t="s">
        <v>101</v>
      </c>
      <c r="C35" s="21"/>
      <c r="D35" s="24" t="s">
        <v>205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25" t="s">
        <v>86</v>
      </c>
      <c r="E37" s="21"/>
    </row>
    <row r="38" spans="1:5" ht="22.5" x14ac:dyDescent="0.45">
      <c r="A38" s="44"/>
      <c r="B38" s="45"/>
      <c r="C38" s="45"/>
      <c r="D38" s="45"/>
      <c r="E38" s="45"/>
    </row>
  </sheetData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EAAD-9B89-4829-83D4-41BCB4632D5F}">
  <sheetPr codeName="Feuil5">
    <tabColor rgb="FF00B0F0"/>
  </sheetPr>
  <dimension ref="A1:E38"/>
  <sheetViews>
    <sheetView zoomScale="70" zoomScaleNormal="70" zoomScalePageLayoutView="7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46041</v>
      </c>
      <c r="D1" s="39" t="s">
        <v>1</v>
      </c>
      <c r="E1" s="40">
        <f>A35</f>
        <v>46047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206</v>
      </c>
      <c r="E4" s="30"/>
    </row>
    <row r="5" spans="1:5" ht="15.6" customHeight="1" x14ac:dyDescent="0.3">
      <c r="A5" s="48">
        <v>46041</v>
      </c>
      <c r="B5" s="20" t="s">
        <v>107</v>
      </c>
      <c r="C5" s="29"/>
      <c r="D5" s="4" t="s">
        <v>287</v>
      </c>
      <c r="E5" s="30"/>
    </row>
    <row r="6" spans="1:5" ht="15.6" customHeight="1" x14ac:dyDescent="0.3">
      <c r="A6" s="49"/>
      <c r="B6" s="20" t="s">
        <v>90</v>
      </c>
      <c r="C6" s="29"/>
      <c r="D6" s="4" t="s">
        <v>69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86</v>
      </c>
      <c r="E7" s="30"/>
    </row>
    <row r="8" spans="1:5" ht="15.6" customHeight="1" x14ac:dyDescent="0.3">
      <c r="A8" s="50"/>
      <c r="B8" s="18" t="s">
        <v>178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A5+1</f>
        <v>46042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69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293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46043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69</v>
      </c>
      <c r="E16" s="30"/>
    </row>
    <row r="17" spans="1:5" ht="15.6" customHeight="1" thickBot="1" x14ac:dyDescent="0.35">
      <c r="A17" s="47"/>
      <c r="B17" s="20" t="s">
        <v>86</v>
      </c>
      <c r="C17" s="29"/>
      <c r="D17" s="6" t="s">
        <v>86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46044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69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109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46045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69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86</v>
      </c>
      <c r="E27" s="30"/>
    </row>
    <row r="28" spans="1:5" ht="15.6" customHeight="1" x14ac:dyDescent="0.3">
      <c r="A28" s="50"/>
      <c r="B28" s="18" t="s">
        <v>146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218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46046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69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46047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69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9E33-9598-4245-A355-0FBD17B2B601}">
  <sheetPr codeName="Feuil6">
    <tabColor rgb="FF00B0F0"/>
    <pageSetUpPr fitToPage="1"/>
  </sheetPr>
  <dimension ref="A1:E37"/>
  <sheetViews>
    <sheetView zoomScale="85" zoomScaleNormal="85" zoomScalePageLayoutView="70" workbookViewId="0">
      <selection activeCell="B24" sqref="B24"/>
    </sheetView>
  </sheetViews>
  <sheetFormatPr baseColWidth="10" defaultRowHeight="15" x14ac:dyDescent="0.25"/>
  <cols>
    <col min="1" max="1" width="16.85546875" customWidth="1"/>
    <col min="2" max="2" width="45.7109375" customWidth="1"/>
    <col min="3" max="3" width="14.140625" customWidth="1"/>
    <col min="4" max="4" width="45.7109375" customWidth="1"/>
    <col min="5" max="5" width="19.5703125" customWidth="1"/>
    <col min="257" max="257" width="16.855468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6.855468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6.855468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6.855468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6.855468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6.855468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6.855468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6.855468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6.855468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6.855468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6.855468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6.855468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6.855468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6.855468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6.855468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6.855468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6.855468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6.855468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6.855468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6.855468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6.855468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6.855468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6.855468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6.855468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6.855468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6.855468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6.855468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6.855468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6.855468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6.855468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6.855468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6.855468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6.855468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6.855468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6.855468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6.855468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6.855468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6.855468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6.855468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6.855468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6.855468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6.855468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6.855468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6.855468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6.855468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6.855468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6.855468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6.855468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6.855468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6.855468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6.855468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6.855468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6.855468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6.855468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6.855468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6.855468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6.855468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6.855468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6.855468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6.855468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6.855468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6.855468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6.855468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4" customHeight="1" x14ac:dyDescent="0.25">
      <c r="A1" s="43" t="s">
        <v>0</v>
      </c>
      <c r="B1" s="41"/>
      <c r="C1" s="38">
        <f>A6</f>
        <v>46048</v>
      </c>
      <c r="D1" s="39" t="s">
        <v>1</v>
      </c>
      <c r="E1" s="40">
        <f>A35</f>
        <v>46054</v>
      </c>
    </row>
    <row r="2" spans="1:5" ht="24" thickBot="1" x14ac:dyDescent="0.4">
      <c r="A2" s="37"/>
      <c r="B2" s="1" t="s">
        <v>2</v>
      </c>
      <c r="C2" s="2"/>
      <c r="D2" s="1" t="s">
        <v>3</v>
      </c>
      <c r="E2" s="2"/>
    </row>
    <row r="3" spans="1:5" ht="15" customHeight="1" x14ac:dyDescent="0.25">
      <c r="A3" s="46"/>
      <c r="B3" s="18" t="s">
        <v>121</v>
      </c>
      <c r="C3" s="19"/>
      <c r="D3" s="5" t="s">
        <v>122</v>
      </c>
      <c r="E3" s="8"/>
    </row>
    <row r="4" spans="1:5" ht="15" customHeight="1" x14ac:dyDescent="0.25">
      <c r="A4" s="47" t="s">
        <v>5</v>
      </c>
      <c r="B4" s="20" t="s">
        <v>123</v>
      </c>
      <c r="C4" s="21" t="s">
        <v>6</v>
      </c>
      <c r="D4" s="6" t="s">
        <v>124</v>
      </c>
      <c r="E4" s="9"/>
    </row>
    <row r="5" spans="1:5" ht="15" customHeight="1" x14ac:dyDescent="0.25">
      <c r="A5" s="48"/>
      <c r="B5" s="20" t="s">
        <v>222</v>
      </c>
      <c r="C5" s="21"/>
      <c r="D5" s="6" t="s">
        <v>125</v>
      </c>
      <c r="E5" s="9"/>
    </row>
    <row r="6" spans="1:5" ht="15" customHeight="1" x14ac:dyDescent="0.25">
      <c r="A6" s="58">
        <f>'semaine 4'!A35+1</f>
        <v>46048</v>
      </c>
      <c r="B6" s="20" t="s">
        <v>90</v>
      </c>
      <c r="C6" s="21"/>
      <c r="D6" s="6" t="s">
        <v>69</v>
      </c>
      <c r="E6" s="9"/>
    </row>
    <row r="7" spans="1:5" ht="15" customHeight="1" thickBot="1" x14ac:dyDescent="0.3">
      <c r="A7" s="47"/>
      <c r="B7" s="20" t="s">
        <v>86</v>
      </c>
      <c r="C7" s="21"/>
      <c r="D7" s="6" t="s">
        <v>86</v>
      </c>
      <c r="E7" s="9"/>
    </row>
    <row r="8" spans="1:5" ht="15" customHeight="1" x14ac:dyDescent="0.25">
      <c r="A8" s="50"/>
      <c r="B8" s="18" t="s">
        <v>104</v>
      </c>
      <c r="C8" s="19"/>
      <c r="D8" s="5" t="s">
        <v>88</v>
      </c>
      <c r="E8" s="8"/>
    </row>
    <row r="9" spans="1:5" ht="15" customHeight="1" x14ac:dyDescent="0.25">
      <c r="A9" s="47" t="s">
        <v>7</v>
      </c>
      <c r="B9" s="20" t="s">
        <v>126</v>
      </c>
      <c r="C9" s="35" t="s">
        <v>6</v>
      </c>
      <c r="D9" s="6" t="s">
        <v>223</v>
      </c>
      <c r="E9" s="9" t="s">
        <v>6</v>
      </c>
    </row>
    <row r="10" spans="1:5" ht="15" customHeight="1" x14ac:dyDescent="0.25">
      <c r="A10" s="48">
        <f>A6+1</f>
        <v>46049</v>
      </c>
      <c r="B10" s="20" t="s">
        <v>127</v>
      </c>
      <c r="C10" s="21"/>
      <c r="D10" s="6" t="s">
        <v>224</v>
      </c>
      <c r="E10" s="9"/>
    </row>
    <row r="11" spans="1:5" ht="15" customHeight="1" x14ac:dyDescent="0.25">
      <c r="A11" s="47"/>
      <c r="B11" s="20"/>
      <c r="C11" s="21"/>
      <c r="D11" s="6" t="s">
        <v>69</v>
      </c>
      <c r="E11" s="9"/>
    </row>
    <row r="12" spans="1:5" ht="15" customHeight="1" thickBot="1" x14ac:dyDescent="0.3">
      <c r="A12" s="47"/>
      <c r="B12" s="20" t="s">
        <v>24</v>
      </c>
      <c r="C12" s="21"/>
      <c r="D12" s="6" t="s">
        <v>86</v>
      </c>
      <c r="E12" s="10"/>
    </row>
    <row r="13" spans="1:5" ht="15" customHeight="1" x14ac:dyDescent="0.25">
      <c r="A13" s="50"/>
      <c r="B13" s="18" t="s">
        <v>117</v>
      </c>
      <c r="C13" s="19"/>
      <c r="D13" s="5" t="s">
        <v>225</v>
      </c>
      <c r="E13" s="9"/>
    </row>
    <row r="14" spans="1:5" ht="15" customHeight="1" x14ac:dyDescent="0.25">
      <c r="A14" s="47" t="s">
        <v>9</v>
      </c>
      <c r="B14" s="20" t="s">
        <v>149</v>
      </c>
      <c r="C14" s="21" t="s">
        <v>6</v>
      </c>
      <c r="D14" s="6" t="s">
        <v>128</v>
      </c>
      <c r="E14" s="9" t="s">
        <v>6</v>
      </c>
    </row>
    <row r="15" spans="1:5" ht="15" customHeight="1" x14ac:dyDescent="0.25">
      <c r="A15" s="48">
        <f>A10+1</f>
        <v>46050</v>
      </c>
      <c r="B15" s="20" t="s">
        <v>226</v>
      </c>
      <c r="C15" s="21"/>
      <c r="D15" s="6" t="s">
        <v>129</v>
      </c>
      <c r="E15" s="9"/>
    </row>
    <row r="16" spans="1:5" ht="15" customHeight="1" x14ac:dyDescent="0.25">
      <c r="A16" s="47"/>
      <c r="B16" s="20" t="s">
        <v>90</v>
      </c>
      <c r="C16" s="21"/>
      <c r="D16" s="6" t="s">
        <v>69</v>
      </c>
      <c r="E16" s="9"/>
    </row>
    <row r="17" spans="1:5" ht="15" customHeight="1" thickBot="1" x14ac:dyDescent="0.3">
      <c r="A17" s="47"/>
      <c r="B17" s="20" t="s">
        <v>86</v>
      </c>
      <c r="C17" s="21"/>
      <c r="D17" s="6" t="s">
        <v>221</v>
      </c>
      <c r="E17" s="9"/>
    </row>
    <row r="18" spans="1:5" ht="15" customHeight="1" x14ac:dyDescent="0.25">
      <c r="A18" s="50"/>
      <c r="B18" s="18" t="s">
        <v>103</v>
      </c>
      <c r="C18" s="19"/>
      <c r="D18" s="5" t="s">
        <v>110</v>
      </c>
      <c r="E18" s="8"/>
    </row>
    <row r="19" spans="1:5" ht="15" customHeight="1" x14ac:dyDescent="0.25">
      <c r="A19" s="47" t="s">
        <v>10</v>
      </c>
      <c r="B19" s="20" t="s">
        <v>80</v>
      </c>
      <c r="C19" s="21" t="s">
        <v>6</v>
      </c>
      <c r="D19" s="6" t="s">
        <v>130</v>
      </c>
      <c r="E19" s="9"/>
    </row>
    <row r="20" spans="1:5" ht="15" customHeight="1" x14ac:dyDescent="0.25">
      <c r="A20" s="48">
        <f>A15+1</f>
        <v>46051</v>
      </c>
      <c r="B20" s="20"/>
      <c r="C20" s="21"/>
      <c r="D20" s="6"/>
      <c r="E20" s="9"/>
    </row>
    <row r="21" spans="1:5" ht="15" customHeight="1" x14ac:dyDescent="0.25">
      <c r="A21" s="47"/>
      <c r="B21" s="20" t="s">
        <v>23</v>
      </c>
      <c r="C21" s="21"/>
      <c r="D21" s="6" t="s">
        <v>69</v>
      </c>
      <c r="E21" s="9"/>
    </row>
    <row r="22" spans="1:5" ht="15" customHeight="1" thickBot="1" x14ac:dyDescent="0.3">
      <c r="A22" s="47"/>
      <c r="B22" s="20" t="s">
        <v>86</v>
      </c>
      <c r="C22" s="21"/>
      <c r="D22" s="6" t="s">
        <v>86</v>
      </c>
      <c r="E22" s="10"/>
    </row>
    <row r="23" spans="1:5" ht="15" customHeight="1" x14ac:dyDescent="0.25">
      <c r="A23" s="50"/>
      <c r="B23" s="18" t="s">
        <v>227</v>
      </c>
      <c r="C23" s="19"/>
      <c r="D23" s="5" t="s">
        <v>104</v>
      </c>
      <c r="E23" s="9"/>
    </row>
    <row r="24" spans="1:5" ht="15" customHeight="1" x14ac:dyDescent="0.25">
      <c r="A24" s="47" t="s">
        <v>15</v>
      </c>
      <c r="B24" s="20" t="s">
        <v>228</v>
      </c>
      <c r="C24" s="21"/>
      <c r="D24" s="6" t="s">
        <v>229</v>
      </c>
      <c r="E24" s="9" t="s">
        <v>6</v>
      </c>
    </row>
    <row r="25" spans="1:5" ht="15" customHeight="1" x14ac:dyDescent="0.25">
      <c r="A25" s="48">
        <f>A20+1</f>
        <v>46052</v>
      </c>
      <c r="B25" s="20"/>
      <c r="C25" s="21"/>
      <c r="D25" s="6" t="s">
        <v>230</v>
      </c>
      <c r="E25" s="9"/>
    </row>
    <row r="26" spans="1:5" ht="15" customHeight="1" x14ac:dyDescent="0.25">
      <c r="A26" s="47"/>
      <c r="B26" s="20" t="s">
        <v>90</v>
      </c>
      <c r="C26" s="21"/>
      <c r="D26" s="6" t="s">
        <v>69</v>
      </c>
      <c r="E26" s="9"/>
    </row>
    <row r="27" spans="1:5" ht="15" customHeight="1" thickBot="1" x14ac:dyDescent="0.3">
      <c r="A27" s="47"/>
      <c r="B27" s="20" t="s">
        <v>221</v>
      </c>
      <c r="C27" s="21"/>
      <c r="D27" s="6" t="s">
        <v>86</v>
      </c>
      <c r="E27" s="9"/>
    </row>
    <row r="28" spans="1:5" ht="15" customHeight="1" x14ac:dyDescent="0.25">
      <c r="A28" s="50"/>
      <c r="B28" s="18" t="s">
        <v>131</v>
      </c>
      <c r="C28" s="19"/>
      <c r="D28" s="5" t="s">
        <v>88</v>
      </c>
      <c r="E28" s="8"/>
    </row>
    <row r="29" spans="1:5" ht="15" customHeight="1" x14ac:dyDescent="0.25">
      <c r="A29" s="47" t="s">
        <v>17</v>
      </c>
      <c r="B29" s="20" t="s">
        <v>231</v>
      </c>
      <c r="C29" s="21" t="s">
        <v>6</v>
      </c>
      <c r="D29" s="6" t="s">
        <v>150</v>
      </c>
      <c r="E29" s="9"/>
    </row>
    <row r="30" spans="1:5" ht="15" customHeight="1" x14ac:dyDescent="0.25">
      <c r="A30" s="48">
        <f>A25+1</f>
        <v>46053</v>
      </c>
      <c r="B30" s="20" t="s">
        <v>143</v>
      </c>
      <c r="C30" s="21"/>
      <c r="D30" s="6" t="s">
        <v>232</v>
      </c>
      <c r="E30" s="9"/>
    </row>
    <row r="31" spans="1:5" ht="15" customHeight="1" x14ac:dyDescent="0.25">
      <c r="A31" s="47"/>
      <c r="B31" s="20" t="s">
        <v>90</v>
      </c>
      <c r="C31" s="21"/>
      <c r="D31" s="6" t="s">
        <v>69</v>
      </c>
      <c r="E31" s="9"/>
    </row>
    <row r="32" spans="1:5" ht="15" customHeight="1" thickBot="1" x14ac:dyDescent="0.3">
      <c r="A32" s="51"/>
      <c r="B32" s="26" t="s">
        <v>86</v>
      </c>
      <c r="C32" s="21"/>
      <c r="D32" s="6" t="s">
        <v>86</v>
      </c>
      <c r="E32" s="10"/>
    </row>
    <row r="33" spans="1:5" ht="15" customHeight="1" x14ac:dyDescent="0.25">
      <c r="A33" s="50"/>
      <c r="B33" s="18" t="s">
        <v>111</v>
      </c>
      <c r="C33" s="19"/>
      <c r="D33" s="5" t="s">
        <v>87</v>
      </c>
      <c r="E33" s="9"/>
    </row>
    <row r="34" spans="1:5" ht="15" customHeight="1" x14ac:dyDescent="0.25">
      <c r="A34" s="47" t="s">
        <v>21</v>
      </c>
      <c r="B34" s="20" t="s">
        <v>289</v>
      </c>
      <c r="C34" s="21" t="s">
        <v>6</v>
      </c>
      <c r="D34" s="6" t="s">
        <v>411</v>
      </c>
      <c r="E34" s="9" t="s">
        <v>6</v>
      </c>
    </row>
    <row r="35" spans="1:5" ht="15" customHeight="1" x14ac:dyDescent="0.25">
      <c r="A35" s="48">
        <f>A30+1</f>
        <v>46054</v>
      </c>
      <c r="B35" s="20" t="s">
        <v>77</v>
      </c>
      <c r="C35" s="21"/>
      <c r="D35" s="6"/>
      <c r="E35" s="9"/>
    </row>
    <row r="36" spans="1:5" ht="15" customHeight="1" x14ac:dyDescent="0.25">
      <c r="A36" s="47"/>
      <c r="B36" s="20" t="s">
        <v>90</v>
      </c>
      <c r="C36" s="21"/>
      <c r="D36" s="6" t="s">
        <v>69</v>
      </c>
      <c r="E36" s="9"/>
    </row>
    <row r="37" spans="1:5" ht="15" customHeight="1" thickBot="1" x14ac:dyDescent="0.3">
      <c r="A37" s="51"/>
      <c r="B37" s="26" t="s">
        <v>91</v>
      </c>
      <c r="C37" s="22"/>
      <c r="D37" s="36" t="s">
        <v>86</v>
      </c>
      <c r="E37" s="10"/>
    </row>
  </sheetData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4A3D-2721-42AB-AE28-977F3EA0AD4C}">
  <sheetPr codeName="Feuil7">
    <tabColor rgb="FF00B0F0"/>
    <pageSetUpPr fitToPage="1"/>
  </sheetPr>
  <dimension ref="A1:E38"/>
  <sheetViews>
    <sheetView zoomScaleNormal="85" zoomScalePageLayoutView="85" workbookViewId="0">
      <selection activeCell="B18" sqref="B1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46055</v>
      </c>
      <c r="D1" s="39" t="s">
        <v>1</v>
      </c>
      <c r="E1" s="40">
        <f>A35</f>
        <v>46061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132</v>
      </c>
      <c r="C3" s="16"/>
      <c r="D3" s="54" t="s">
        <v>103</v>
      </c>
      <c r="E3" s="11"/>
    </row>
    <row r="4" spans="1:5" ht="15.6" customHeight="1" x14ac:dyDescent="0.25">
      <c r="A4" s="47" t="s">
        <v>5</v>
      </c>
      <c r="B4" s="15" t="s">
        <v>133</v>
      </c>
      <c r="C4" s="52" t="s">
        <v>6</v>
      </c>
      <c r="D4" s="55" t="s">
        <v>97</v>
      </c>
      <c r="E4" s="12" t="s">
        <v>6</v>
      </c>
    </row>
    <row r="5" spans="1:5" ht="15.6" customHeight="1" x14ac:dyDescent="0.25">
      <c r="A5" s="58">
        <f>'semaine 5'!A35+1</f>
        <v>46055</v>
      </c>
      <c r="B5" s="57" t="s">
        <v>154</v>
      </c>
      <c r="C5" s="52"/>
      <c r="D5" s="55" t="s">
        <v>155</v>
      </c>
      <c r="E5" s="12"/>
    </row>
    <row r="6" spans="1:5" ht="15.6" customHeight="1" x14ac:dyDescent="0.25">
      <c r="A6" s="60" t="s">
        <v>294</v>
      </c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33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297</v>
      </c>
      <c r="C9" s="52" t="s">
        <v>6</v>
      </c>
      <c r="D9" s="55" t="s">
        <v>156</v>
      </c>
      <c r="E9" s="12" t="s">
        <v>6</v>
      </c>
    </row>
    <row r="10" spans="1:5" ht="15.6" customHeight="1" x14ac:dyDescent="0.25">
      <c r="A10" s="48">
        <f>A5+1</f>
        <v>46056</v>
      </c>
      <c r="B10" s="15"/>
      <c r="C10" s="52"/>
      <c r="D10" s="55" t="s">
        <v>157</v>
      </c>
      <c r="E10" s="12"/>
    </row>
    <row r="11" spans="1:5" ht="15.6" customHeight="1" x14ac:dyDescent="0.25">
      <c r="A11" s="60" t="s">
        <v>294</v>
      </c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298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158</v>
      </c>
      <c r="C13" s="16"/>
      <c r="D13" s="54" t="s">
        <v>111</v>
      </c>
      <c r="E13" s="11"/>
    </row>
    <row r="14" spans="1:5" ht="15.6" customHeight="1" x14ac:dyDescent="0.25">
      <c r="A14" s="47" t="s">
        <v>9</v>
      </c>
      <c r="B14" s="15" t="s">
        <v>135</v>
      </c>
      <c r="C14" s="52" t="s">
        <v>6</v>
      </c>
      <c r="D14" s="55" t="s">
        <v>159</v>
      </c>
      <c r="E14" s="12" t="s">
        <v>6</v>
      </c>
    </row>
    <row r="15" spans="1:5" ht="15.6" customHeight="1" x14ac:dyDescent="0.25">
      <c r="A15" s="48">
        <f>A10+1</f>
        <v>46057</v>
      </c>
      <c r="B15" s="15" t="s">
        <v>160</v>
      </c>
      <c r="C15" s="52"/>
      <c r="D15" s="55" t="s">
        <v>410</v>
      </c>
      <c r="E15" s="12"/>
    </row>
    <row r="16" spans="1:5" ht="15.6" customHeight="1" x14ac:dyDescent="0.25">
      <c r="A16" s="60" t="s">
        <v>295</v>
      </c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165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161</v>
      </c>
      <c r="C19" s="52" t="s">
        <v>6</v>
      </c>
      <c r="D19" s="55" t="s">
        <v>162</v>
      </c>
      <c r="E19" s="12" t="s">
        <v>6</v>
      </c>
    </row>
    <row r="20" spans="1:5" ht="15.6" customHeight="1" x14ac:dyDescent="0.25">
      <c r="A20" s="48">
        <f>A15+1</f>
        <v>46058</v>
      </c>
      <c r="B20" s="15" t="s">
        <v>163</v>
      </c>
      <c r="C20" s="52"/>
      <c r="D20" s="55" t="s">
        <v>164</v>
      </c>
      <c r="E20" s="12"/>
    </row>
    <row r="21" spans="1:5" ht="15.6" customHeight="1" x14ac:dyDescent="0.25">
      <c r="A21" s="60" t="s">
        <v>295</v>
      </c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293</v>
      </c>
      <c r="C23" s="16"/>
      <c r="D23" s="54" t="s">
        <v>136</v>
      </c>
      <c r="E23" s="11"/>
    </row>
    <row r="24" spans="1:5" ht="15.6" customHeight="1" x14ac:dyDescent="0.25">
      <c r="A24" s="47" t="s">
        <v>15</v>
      </c>
      <c r="B24" s="15" t="s">
        <v>166</v>
      </c>
      <c r="C24" s="52" t="s">
        <v>79</v>
      </c>
      <c r="D24" s="55" t="s">
        <v>137</v>
      </c>
      <c r="E24" s="12" t="s">
        <v>290</v>
      </c>
    </row>
    <row r="25" spans="1:5" ht="15.6" customHeight="1" x14ac:dyDescent="0.25">
      <c r="A25" s="48">
        <f>A20+1</f>
        <v>46059</v>
      </c>
      <c r="B25" s="15" t="s">
        <v>101</v>
      </c>
      <c r="C25" s="52"/>
      <c r="D25" s="55" t="s">
        <v>147</v>
      </c>
      <c r="E25" s="12"/>
    </row>
    <row r="26" spans="1:5" ht="15.6" customHeight="1" x14ac:dyDescent="0.25">
      <c r="A26" s="60" t="s">
        <v>295</v>
      </c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412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167</v>
      </c>
      <c r="C29" s="52" t="s">
        <v>6</v>
      </c>
      <c r="D29" s="55" t="s">
        <v>168</v>
      </c>
      <c r="E29" s="12" t="s">
        <v>6</v>
      </c>
    </row>
    <row r="30" spans="1:5" ht="15.6" customHeight="1" x14ac:dyDescent="0.25">
      <c r="A30" s="48">
        <f>A25+1</f>
        <v>46060</v>
      </c>
      <c r="B30" s="15" t="s">
        <v>169</v>
      </c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138</v>
      </c>
      <c r="E33" s="11"/>
    </row>
    <row r="34" spans="1:5" ht="15" customHeight="1" x14ac:dyDescent="0.25">
      <c r="A34" s="47" t="s">
        <v>21</v>
      </c>
      <c r="B34" s="15" t="s">
        <v>291</v>
      </c>
      <c r="C34" s="52" t="s">
        <v>6</v>
      </c>
      <c r="D34" s="55" t="s">
        <v>139</v>
      </c>
      <c r="E34" s="12" t="s">
        <v>292</v>
      </c>
    </row>
    <row r="35" spans="1:5" ht="15" customHeight="1" x14ac:dyDescent="0.25">
      <c r="A35" s="48">
        <f>A30+1</f>
        <v>46061</v>
      </c>
      <c r="B35" s="15" t="s">
        <v>63</v>
      </c>
      <c r="C35" s="52"/>
      <c r="D35" s="55" t="s">
        <v>171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honeticPr fontId="4" type="noConversion"/>
  <pageMargins left="0" right="0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DD00-E74E-4EB2-A40F-C9773A69EC6C}">
  <sheetPr codeName="Feuil8">
    <tabColor rgb="FF0070C0"/>
    <pageSetUpPr fitToPage="1"/>
  </sheetPr>
  <dimension ref="A1:I38"/>
  <sheetViews>
    <sheetView zoomScale="85" zoomScaleNormal="100" workbookViewId="0">
      <selection activeCell="A21" sqref="A2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46062</v>
      </c>
      <c r="D1" s="39" t="s">
        <v>1</v>
      </c>
      <c r="E1" s="40">
        <f>A35</f>
        <v>46068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25">
      <c r="A5" s="48">
        <f>'semaine 6'!A35+1</f>
        <v>46062</v>
      </c>
      <c r="B5" s="57" t="s">
        <v>85</v>
      </c>
      <c r="C5" s="52"/>
      <c r="D5" s="55"/>
      <c r="E5" s="12"/>
    </row>
    <row r="6" spans="1:5" ht="15.6" customHeight="1" x14ac:dyDescent="0.25">
      <c r="A6" s="48"/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A5+1</f>
        <v>46063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285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46064</v>
      </c>
      <c r="B15" s="15" t="s">
        <v>74</v>
      </c>
      <c r="C15" s="52"/>
      <c r="D15" s="55"/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9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9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9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9" ht="15.6" customHeight="1" x14ac:dyDescent="0.25">
      <c r="A20" s="48">
        <f>A15+1</f>
        <v>46065</v>
      </c>
      <c r="B20" s="15" t="s">
        <v>180</v>
      </c>
      <c r="C20" s="52"/>
      <c r="D20" s="55" t="s">
        <v>140</v>
      </c>
      <c r="E20" s="12"/>
    </row>
    <row r="21" spans="1:9" ht="15.6" customHeight="1" x14ac:dyDescent="0.25">
      <c r="A21" s="60" t="s">
        <v>296</v>
      </c>
      <c r="B21" s="15"/>
      <c r="C21" s="52"/>
      <c r="D21" s="55" t="s">
        <v>69</v>
      </c>
      <c r="E21" s="12"/>
      <c r="I21" t="s">
        <v>26</v>
      </c>
    </row>
    <row r="22" spans="1:9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9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9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9" ht="15.6" customHeight="1" x14ac:dyDescent="0.25">
      <c r="A25" s="48">
        <f>A20+1</f>
        <v>46066</v>
      </c>
      <c r="B25" s="15" t="s">
        <v>184</v>
      </c>
      <c r="C25" s="52"/>
      <c r="D25" s="55"/>
      <c r="E25" s="12"/>
    </row>
    <row r="26" spans="1:9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9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9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9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9" ht="15.6" customHeight="1" x14ac:dyDescent="0.25">
      <c r="A30" s="48">
        <f>A25+1</f>
        <v>46067</v>
      </c>
      <c r="B30" s="15"/>
      <c r="C30" s="52"/>
      <c r="D30" s="55"/>
      <c r="E30" s="12"/>
    </row>
    <row r="31" spans="1:9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9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286</v>
      </c>
      <c r="E34" s="12"/>
    </row>
    <row r="35" spans="1:5" ht="15" customHeight="1" x14ac:dyDescent="0.25">
      <c r="A35" s="48">
        <f>A30+1</f>
        <v>46068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EA5D-F09C-4807-A0B9-37003E5A24EC}">
  <sheetPr codeName="Feuil9">
    <tabColor rgb="FF0070C0"/>
    <pageSetUpPr fitToPage="1"/>
  </sheetPr>
  <dimension ref="A1:E38"/>
  <sheetViews>
    <sheetView view="pageLayout" zoomScale="85" zoomScaleNormal="100" zoomScalePageLayoutView="85" workbookViewId="0">
      <selection activeCell="D28" sqref="D2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46069</v>
      </c>
      <c r="D1" s="39" t="s">
        <v>1</v>
      </c>
      <c r="E1" s="40">
        <f>A35</f>
        <v>46075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f>'semaine 7'!A35+1</f>
        <v>46069</v>
      </c>
      <c r="B5" s="20" t="s">
        <v>193</v>
      </c>
      <c r="C5" s="21"/>
      <c r="D5" s="24" t="s">
        <v>77</v>
      </c>
      <c r="E5" s="21"/>
    </row>
    <row r="6" spans="1:5" ht="15.6" customHeight="1" x14ac:dyDescent="0.25">
      <c r="A6" s="48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46070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0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46071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60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46072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46073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0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46074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0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299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46075</v>
      </c>
      <c r="B35" s="20" t="s">
        <v>101</v>
      </c>
      <c r="C35" s="21"/>
      <c r="D35" s="24" t="s">
        <v>300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80" t="s">
        <v>86</v>
      </c>
      <c r="E37" s="79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1292-5C12-4D03-8428-DCF416BF5641}">
  <sheetPr codeName="Feuil10">
    <tabColor rgb="FF0070C0"/>
    <pageSetUpPr fitToPage="1"/>
  </sheetPr>
  <dimension ref="A1:E38"/>
  <sheetViews>
    <sheetView view="pageLayout" zoomScaleNormal="100" workbookViewId="0">
      <selection activeCell="D4" sqref="D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46076</v>
      </c>
      <c r="D1" s="39" t="s">
        <v>1</v>
      </c>
      <c r="E1" s="40">
        <f>A35</f>
        <v>46082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302</v>
      </c>
      <c r="E4" s="30"/>
    </row>
    <row r="5" spans="1:5" ht="15.6" customHeight="1" x14ac:dyDescent="0.3">
      <c r="A5" s="48">
        <f>'semaine 8'!A35+1</f>
        <v>46076</v>
      </c>
      <c r="B5" s="20" t="s">
        <v>107</v>
      </c>
      <c r="C5" s="29"/>
      <c r="D5" s="4"/>
      <c r="E5" s="30"/>
    </row>
    <row r="6" spans="1:5" ht="15.6" customHeight="1" x14ac:dyDescent="0.3">
      <c r="A6" s="48"/>
      <c r="B6" s="20" t="s">
        <v>90</v>
      </c>
      <c r="C6" s="29"/>
      <c r="D6" s="4" t="s">
        <v>69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86</v>
      </c>
      <c r="E7" s="30"/>
    </row>
    <row r="8" spans="1:5" ht="15.6" customHeight="1" x14ac:dyDescent="0.3">
      <c r="A8" s="50"/>
      <c r="B8" s="18" t="s">
        <v>303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A5+1</f>
        <v>46077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69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277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46078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69</v>
      </c>
      <c r="E16" s="30"/>
    </row>
    <row r="17" spans="1:5" ht="15.6" customHeight="1" thickBot="1" x14ac:dyDescent="0.35">
      <c r="A17" s="47"/>
      <c r="B17" s="20" t="s">
        <v>86</v>
      </c>
      <c r="C17" s="29"/>
      <c r="D17" s="6" t="s">
        <v>86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46079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69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78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46080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69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86</v>
      </c>
      <c r="E27" s="30"/>
    </row>
    <row r="28" spans="1:5" ht="15.6" customHeight="1" x14ac:dyDescent="0.3">
      <c r="A28" s="50"/>
      <c r="B28" s="18" t="s">
        <v>305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304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46081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69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46082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69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940A-45BE-48A4-8606-2B0C85B7FC31}">
  <sheetPr codeName="Feuil11">
    <tabColor rgb="FF0070C0"/>
    <pageSetUpPr fitToPage="1"/>
  </sheetPr>
  <dimension ref="A1:E38"/>
  <sheetViews>
    <sheetView zoomScale="85" zoomScaleNormal="85" workbookViewId="0">
      <selection activeCell="D29" sqref="D2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46083</v>
      </c>
      <c r="D1" s="39" t="s">
        <v>1</v>
      </c>
      <c r="E1" s="40">
        <f>A35</f>
        <v>46089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121</v>
      </c>
      <c r="C3" s="19"/>
      <c r="D3" s="5" t="s">
        <v>122</v>
      </c>
      <c r="E3" s="8"/>
    </row>
    <row r="4" spans="1:5" ht="15.6" customHeight="1" x14ac:dyDescent="0.25">
      <c r="A4" s="47" t="s">
        <v>5</v>
      </c>
      <c r="B4" s="20" t="s">
        <v>123</v>
      </c>
      <c r="C4" s="21" t="s">
        <v>6</v>
      </c>
      <c r="D4" s="6" t="s">
        <v>124</v>
      </c>
      <c r="E4" s="9"/>
    </row>
    <row r="5" spans="1:5" ht="15.6" customHeight="1" x14ac:dyDescent="0.25">
      <c r="A5" s="48">
        <f>'semaine 9 '!A35+1</f>
        <v>46083</v>
      </c>
      <c r="B5" s="20" t="s">
        <v>222</v>
      </c>
      <c r="C5" s="21"/>
      <c r="D5" s="6" t="s">
        <v>306</v>
      </c>
      <c r="E5" s="9"/>
    </row>
    <row r="6" spans="1:5" ht="15.6" customHeight="1" x14ac:dyDescent="0.25">
      <c r="A6" s="48"/>
      <c r="B6" s="20" t="s">
        <v>90</v>
      </c>
      <c r="C6" s="21"/>
      <c r="D6" s="6" t="s">
        <v>69</v>
      </c>
      <c r="E6" s="9"/>
    </row>
    <row r="7" spans="1:5" ht="15.6" customHeight="1" thickBot="1" x14ac:dyDescent="0.3">
      <c r="A7" s="47"/>
      <c r="B7" s="20" t="s">
        <v>86</v>
      </c>
      <c r="C7" s="21"/>
      <c r="D7" s="6" t="s">
        <v>86</v>
      </c>
      <c r="E7" s="9"/>
    </row>
    <row r="8" spans="1:5" ht="15.6" customHeight="1" x14ac:dyDescent="0.25">
      <c r="A8" s="50"/>
      <c r="B8" s="18" t="s">
        <v>104</v>
      </c>
      <c r="C8" s="19"/>
      <c r="D8" s="5" t="s">
        <v>88</v>
      </c>
      <c r="E8" s="8"/>
    </row>
    <row r="9" spans="1:5" ht="15.6" customHeight="1" x14ac:dyDescent="0.25">
      <c r="A9" s="47" t="s">
        <v>7</v>
      </c>
      <c r="B9" s="20" t="s">
        <v>126</v>
      </c>
      <c r="C9" s="35" t="s">
        <v>6</v>
      </c>
      <c r="D9" s="6" t="s">
        <v>223</v>
      </c>
      <c r="E9" s="9" t="s">
        <v>6</v>
      </c>
    </row>
    <row r="10" spans="1:5" ht="15.6" customHeight="1" x14ac:dyDescent="0.25">
      <c r="A10" s="48">
        <f>A5+1</f>
        <v>46084</v>
      </c>
      <c r="B10" s="20" t="s">
        <v>127</v>
      </c>
      <c r="C10" s="21"/>
      <c r="D10" s="6" t="s">
        <v>224</v>
      </c>
      <c r="E10" s="9"/>
    </row>
    <row r="11" spans="1:5" ht="15.6" customHeight="1" x14ac:dyDescent="0.25">
      <c r="A11" s="47"/>
      <c r="B11" s="20"/>
      <c r="C11" s="21"/>
      <c r="D11" s="6" t="s">
        <v>69</v>
      </c>
      <c r="E11" s="9"/>
    </row>
    <row r="12" spans="1:5" ht="15.6" customHeight="1" thickBot="1" x14ac:dyDescent="0.3">
      <c r="A12" s="47"/>
      <c r="B12" s="20" t="s">
        <v>24</v>
      </c>
      <c r="C12" s="21"/>
      <c r="D12" s="6" t="s">
        <v>86</v>
      </c>
      <c r="E12" s="10"/>
    </row>
    <row r="13" spans="1:5" ht="15.6" customHeight="1" x14ac:dyDescent="0.25">
      <c r="A13" s="50"/>
      <c r="B13" s="18" t="s">
        <v>117</v>
      </c>
      <c r="C13" s="19"/>
      <c r="D13" s="5" t="s">
        <v>225</v>
      </c>
      <c r="E13" s="9"/>
    </row>
    <row r="14" spans="1:5" ht="15.6" customHeight="1" x14ac:dyDescent="0.25">
      <c r="A14" s="47" t="s">
        <v>9</v>
      </c>
      <c r="B14" s="20" t="s">
        <v>149</v>
      </c>
      <c r="C14" s="21" t="s">
        <v>6</v>
      </c>
      <c r="D14" s="6" t="s">
        <v>128</v>
      </c>
      <c r="E14" s="9" t="s">
        <v>6</v>
      </c>
    </row>
    <row r="15" spans="1:5" ht="15.6" customHeight="1" x14ac:dyDescent="0.25">
      <c r="A15" s="48">
        <f>A10+1</f>
        <v>46085</v>
      </c>
      <c r="B15" s="20" t="s">
        <v>226</v>
      </c>
      <c r="C15" s="21"/>
      <c r="D15" s="6" t="s">
        <v>129</v>
      </c>
      <c r="E15" s="9"/>
    </row>
    <row r="16" spans="1:5" ht="15.6" customHeight="1" x14ac:dyDescent="0.25">
      <c r="A16" s="47"/>
      <c r="B16" s="20" t="s">
        <v>90</v>
      </c>
      <c r="C16" s="21"/>
      <c r="D16" s="6" t="s">
        <v>69</v>
      </c>
      <c r="E16" s="9"/>
    </row>
    <row r="17" spans="1:5" ht="15.6" customHeight="1" thickBot="1" x14ac:dyDescent="0.3">
      <c r="A17" s="47"/>
      <c r="B17" s="20" t="s">
        <v>86</v>
      </c>
      <c r="C17" s="21"/>
      <c r="D17" s="6" t="s">
        <v>221</v>
      </c>
      <c r="E17" s="9"/>
    </row>
    <row r="18" spans="1:5" ht="15.6" customHeight="1" x14ac:dyDescent="0.25">
      <c r="A18" s="50"/>
      <c r="B18" s="18" t="s">
        <v>103</v>
      </c>
      <c r="C18" s="19"/>
      <c r="D18" s="5" t="s">
        <v>110</v>
      </c>
      <c r="E18" s="8"/>
    </row>
    <row r="19" spans="1:5" ht="15.6" customHeight="1" x14ac:dyDescent="0.25">
      <c r="A19" s="47" t="s">
        <v>10</v>
      </c>
      <c r="B19" s="20" t="s">
        <v>80</v>
      </c>
      <c r="C19" s="21" t="s">
        <v>6</v>
      </c>
      <c r="D19" s="6" t="s">
        <v>130</v>
      </c>
      <c r="E19" s="9"/>
    </row>
    <row r="20" spans="1:5" ht="15.6" customHeight="1" x14ac:dyDescent="0.25">
      <c r="A20" s="48">
        <f>A15+1</f>
        <v>46086</v>
      </c>
      <c r="B20" s="20"/>
      <c r="C20" s="21"/>
      <c r="D20" s="6"/>
      <c r="E20" s="9"/>
    </row>
    <row r="21" spans="1:5" ht="15.6" customHeight="1" x14ac:dyDescent="0.25">
      <c r="A21" s="60" t="s">
        <v>301</v>
      </c>
      <c r="B21" s="20" t="s">
        <v>23</v>
      </c>
      <c r="C21" s="21"/>
      <c r="D21" s="6" t="s">
        <v>69</v>
      </c>
      <c r="E21" s="9"/>
    </row>
    <row r="22" spans="1:5" ht="15.6" customHeight="1" thickBot="1" x14ac:dyDescent="0.3">
      <c r="A22" s="47"/>
      <c r="B22" s="20" t="s">
        <v>86</v>
      </c>
      <c r="C22" s="21"/>
      <c r="D22" s="6" t="s">
        <v>86</v>
      </c>
      <c r="E22" s="10"/>
    </row>
    <row r="23" spans="1:5" ht="15.6" customHeight="1" x14ac:dyDescent="0.25">
      <c r="A23" s="50"/>
      <c r="B23" s="18" t="s">
        <v>227</v>
      </c>
      <c r="C23" s="19"/>
      <c r="D23" s="5" t="s">
        <v>104</v>
      </c>
      <c r="E23" s="9"/>
    </row>
    <row r="24" spans="1:5" ht="15.6" customHeight="1" x14ac:dyDescent="0.25">
      <c r="A24" s="47" t="s">
        <v>15</v>
      </c>
      <c r="B24" s="20" t="s">
        <v>228</v>
      </c>
      <c r="C24" s="21"/>
      <c r="D24" s="6" t="s">
        <v>229</v>
      </c>
      <c r="E24" s="9" t="s">
        <v>6</v>
      </c>
    </row>
    <row r="25" spans="1:5" ht="15.6" customHeight="1" x14ac:dyDescent="0.25">
      <c r="A25" s="48">
        <f>A20+1</f>
        <v>46087</v>
      </c>
      <c r="B25" s="20"/>
      <c r="C25" s="21"/>
      <c r="D25" s="6" t="s">
        <v>230</v>
      </c>
      <c r="E25" s="9"/>
    </row>
    <row r="26" spans="1:5" ht="15.6" customHeight="1" x14ac:dyDescent="0.25">
      <c r="A26" s="60"/>
      <c r="B26" s="20" t="s">
        <v>90</v>
      </c>
      <c r="C26" s="21"/>
      <c r="D26" s="6" t="s">
        <v>69</v>
      </c>
      <c r="E26" s="9"/>
    </row>
    <row r="27" spans="1:5" ht="15.6" customHeight="1" thickBot="1" x14ac:dyDescent="0.3">
      <c r="A27" s="47"/>
      <c r="B27" s="20" t="s">
        <v>221</v>
      </c>
      <c r="C27" s="21"/>
      <c r="D27" s="6" t="s">
        <v>86</v>
      </c>
      <c r="E27" s="9"/>
    </row>
    <row r="28" spans="1:5" ht="15.6" customHeight="1" x14ac:dyDescent="0.25">
      <c r="A28" s="50"/>
      <c r="B28" s="18" t="s">
        <v>131</v>
      </c>
      <c r="C28" s="19"/>
      <c r="D28" s="5" t="s">
        <v>88</v>
      </c>
      <c r="E28" s="8"/>
    </row>
    <row r="29" spans="1:5" ht="15.6" customHeight="1" x14ac:dyDescent="0.25">
      <c r="A29" s="47" t="s">
        <v>17</v>
      </c>
      <c r="B29" s="20" t="s">
        <v>231</v>
      </c>
      <c r="C29" s="21" t="s">
        <v>6</v>
      </c>
      <c r="D29" s="6" t="s">
        <v>150</v>
      </c>
      <c r="E29" s="9"/>
    </row>
    <row r="30" spans="1:5" ht="15.6" customHeight="1" x14ac:dyDescent="0.25">
      <c r="A30" s="48">
        <f>A25+1</f>
        <v>46088</v>
      </c>
      <c r="B30" s="20" t="s">
        <v>143</v>
      </c>
      <c r="C30" s="21"/>
      <c r="D30" s="6" t="s">
        <v>232</v>
      </c>
      <c r="E30" s="9"/>
    </row>
    <row r="31" spans="1:5" ht="15" customHeight="1" x14ac:dyDescent="0.25">
      <c r="A31" s="47"/>
      <c r="B31" s="20" t="s">
        <v>90</v>
      </c>
      <c r="C31" s="21"/>
      <c r="D31" s="6" t="s">
        <v>69</v>
      </c>
      <c r="E31" s="9"/>
    </row>
    <row r="32" spans="1:5" ht="15" customHeight="1" thickBot="1" x14ac:dyDescent="0.3">
      <c r="A32" s="51"/>
      <c r="B32" s="26" t="s">
        <v>86</v>
      </c>
      <c r="C32" s="21"/>
      <c r="D32" s="6" t="s">
        <v>86</v>
      </c>
      <c r="E32" s="10"/>
    </row>
    <row r="33" spans="1:5" ht="15" customHeight="1" x14ac:dyDescent="0.25">
      <c r="A33" s="50"/>
      <c r="B33" s="18" t="s">
        <v>111</v>
      </c>
      <c r="C33" s="19"/>
      <c r="D33" s="5" t="s">
        <v>87</v>
      </c>
      <c r="E33" s="9"/>
    </row>
    <row r="34" spans="1:5" ht="15" customHeight="1" x14ac:dyDescent="0.25">
      <c r="A34" s="47" t="s">
        <v>21</v>
      </c>
      <c r="B34" s="20" t="s">
        <v>289</v>
      </c>
      <c r="C34" s="21" t="s">
        <v>6</v>
      </c>
      <c r="D34" s="6" t="s">
        <v>411</v>
      </c>
      <c r="E34" s="9" t="s">
        <v>6</v>
      </c>
    </row>
    <row r="35" spans="1:5" ht="15" customHeight="1" x14ac:dyDescent="0.25">
      <c r="A35" s="48">
        <f>A30+1</f>
        <v>46089</v>
      </c>
      <c r="B35" s="20" t="s">
        <v>77</v>
      </c>
      <c r="C35" s="21"/>
      <c r="D35" s="6"/>
      <c r="E35" s="9"/>
    </row>
    <row r="36" spans="1:5" ht="15" customHeight="1" x14ac:dyDescent="0.25">
      <c r="A36" s="47"/>
      <c r="B36" s="20" t="s">
        <v>90</v>
      </c>
      <c r="C36" s="21"/>
      <c r="D36" s="6" t="s">
        <v>69</v>
      </c>
      <c r="E36" s="9"/>
    </row>
    <row r="37" spans="1:5" ht="15" customHeight="1" thickBot="1" x14ac:dyDescent="0.3">
      <c r="A37" s="51"/>
      <c r="B37" s="26" t="s">
        <v>91</v>
      </c>
      <c r="C37" s="22"/>
      <c r="D37" s="36" t="s">
        <v>86</v>
      </c>
      <c r="E37" s="10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E6C5-E904-4A1A-823A-28FC12E2FEB6}">
  <sheetPr codeName="Feuil12">
    <tabColor rgb="FF0070C0"/>
    <pageSetUpPr fitToPage="1"/>
  </sheetPr>
  <dimension ref="A1:E38"/>
  <sheetViews>
    <sheetView zoomScale="85" zoomScaleNormal="85" zoomScalePageLayoutView="85" workbookViewId="0">
      <selection activeCell="D35" sqref="D3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46090</v>
      </c>
      <c r="D1" s="39" t="s">
        <v>1</v>
      </c>
      <c r="E1" s="40">
        <f>A35</f>
        <v>46096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132</v>
      </c>
      <c r="C3" s="19"/>
      <c r="D3" s="3" t="s">
        <v>103</v>
      </c>
      <c r="E3" s="61"/>
    </row>
    <row r="4" spans="1:5" ht="15.6" customHeight="1" x14ac:dyDescent="0.25">
      <c r="A4" s="47" t="s">
        <v>5</v>
      </c>
      <c r="B4" s="20" t="s">
        <v>133</v>
      </c>
      <c r="C4" s="21" t="s">
        <v>6</v>
      </c>
      <c r="D4" s="4" t="s">
        <v>97</v>
      </c>
      <c r="E4" s="62" t="s">
        <v>6</v>
      </c>
    </row>
    <row r="5" spans="1:5" ht="15.6" customHeight="1" x14ac:dyDescent="0.25">
      <c r="B5" s="20" t="s">
        <v>154</v>
      </c>
      <c r="C5" s="21"/>
      <c r="D5" s="4" t="s">
        <v>155</v>
      </c>
      <c r="E5" s="62"/>
    </row>
    <row r="6" spans="1:5" ht="15.6" customHeight="1" x14ac:dyDescent="0.25">
      <c r="A6" s="48">
        <f>'semaine 10'!A35+1</f>
        <v>46090</v>
      </c>
      <c r="B6" s="20" t="s">
        <v>90</v>
      </c>
      <c r="C6" s="21"/>
      <c r="D6" s="4" t="s">
        <v>69</v>
      </c>
      <c r="E6" s="62"/>
    </row>
    <row r="7" spans="1:5" ht="15.6" customHeight="1" thickBot="1" x14ac:dyDescent="0.3">
      <c r="A7" s="60" t="s">
        <v>295</v>
      </c>
      <c r="B7" s="20" t="s">
        <v>86</v>
      </c>
      <c r="C7" s="21"/>
      <c r="D7" s="4" t="s">
        <v>86</v>
      </c>
      <c r="E7" s="62"/>
    </row>
    <row r="8" spans="1:5" ht="15.6" customHeight="1" x14ac:dyDescent="0.25">
      <c r="A8" s="50"/>
      <c r="B8" s="18" t="s">
        <v>112</v>
      </c>
      <c r="C8" s="19"/>
      <c r="D8" s="5" t="s">
        <v>88</v>
      </c>
      <c r="E8" s="61"/>
    </row>
    <row r="9" spans="1:5" ht="15.6" customHeight="1" x14ac:dyDescent="0.25">
      <c r="A9" s="47" t="s">
        <v>7</v>
      </c>
      <c r="B9" s="63" t="s">
        <v>134</v>
      </c>
      <c r="C9" s="21" t="s">
        <v>6</v>
      </c>
      <c r="D9" s="6" t="s">
        <v>156</v>
      </c>
      <c r="E9" s="62" t="s">
        <v>6</v>
      </c>
    </row>
    <row r="10" spans="1:5" ht="15.6" customHeight="1" x14ac:dyDescent="0.25">
      <c r="A10" s="48">
        <f>A6+1</f>
        <v>46091</v>
      </c>
      <c r="B10" s="63"/>
      <c r="C10" s="21"/>
      <c r="D10" s="6" t="s">
        <v>157</v>
      </c>
      <c r="E10" s="62"/>
    </row>
    <row r="11" spans="1:5" ht="15.6" customHeight="1" x14ac:dyDescent="0.25">
      <c r="A11" s="47"/>
      <c r="B11" s="63"/>
      <c r="C11" s="21"/>
      <c r="D11" s="6" t="s">
        <v>69</v>
      </c>
      <c r="E11" s="62"/>
    </row>
    <row r="12" spans="1:5" ht="15.6" customHeight="1" thickBot="1" x14ac:dyDescent="0.3">
      <c r="A12" s="60" t="s">
        <v>295</v>
      </c>
      <c r="B12" s="63" t="s">
        <v>24</v>
      </c>
      <c r="C12" s="21"/>
      <c r="D12" s="6" t="s">
        <v>86</v>
      </c>
      <c r="E12" s="62"/>
    </row>
    <row r="13" spans="1:5" ht="15.6" customHeight="1" x14ac:dyDescent="0.25">
      <c r="A13" s="50"/>
      <c r="B13" s="64" t="s">
        <v>158</v>
      </c>
      <c r="C13" s="19"/>
      <c r="D13" s="5" t="s">
        <v>111</v>
      </c>
      <c r="E13" s="61"/>
    </row>
    <row r="14" spans="1:5" ht="15.6" customHeight="1" x14ac:dyDescent="0.25">
      <c r="A14" s="47" t="s">
        <v>9</v>
      </c>
      <c r="B14" s="63" t="s">
        <v>135</v>
      </c>
      <c r="C14" s="21" t="s">
        <v>6</v>
      </c>
      <c r="D14" s="6" t="s">
        <v>159</v>
      </c>
      <c r="E14" s="62" t="s">
        <v>6</v>
      </c>
    </row>
    <row r="15" spans="1:5" ht="15.6" customHeight="1" x14ac:dyDescent="0.25">
      <c r="A15" s="48">
        <f>A10+1</f>
        <v>46092</v>
      </c>
      <c r="B15" s="65" t="s">
        <v>160</v>
      </c>
      <c r="C15" s="21"/>
      <c r="D15" s="6" t="s">
        <v>410</v>
      </c>
      <c r="E15" s="62"/>
    </row>
    <row r="16" spans="1:5" ht="15.6" customHeight="1" x14ac:dyDescent="0.25">
      <c r="A16" s="47"/>
      <c r="B16" s="65" t="s">
        <v>90</v>
      </c>
      <c r="C16" s="21"/>
      <c r="D16" s="6" t="s">
        <v>69</v>
      </c>
      <c r="E16" s="62"/>
    </row>
    <row r="17" spans="1:5" ht="15.6" customHeight="1" thickBot="1" x14ac:dyDescent="0.3">
      <c r="A17" s="60" t="s">
        <v>295</v>
      </c>
      <c r="B17" s="65" t="s">
        <v>86</v>
      </c>
      <c r="C17" s="21"/>
      <c r="D17" s="6" t="s">
        <v>86</v>
      </c>
      <c r="E17" s="62"/>
    </row>
    <row r="18" spans="1:5" ht="15.6" customHeight="1" x14ac:dyDescent="0.25">
      <c r="A18" s="50"/>
      <c r="B18" s="64" t="s">
        <v>102</v>
      </c>
      <c r="C18" s="19"/>
      <c r="D18" s="5" t="s">
        <v>93</v>
      </c>
      <c r="E18" s="61"/>
    </row>
    <row r="19" spans="1:5" ht="15.6" customHeight="1" x14ac:dyDescent="0.25">
      <c r="A19" s="47" t="s">
        <v>10</v>
      </c>
      <c r="B19" s="65" t="s">
        <v>161</v>
      </c>
      <c r="C19" s="21" t="s">
        <v>6</v>
      </c>
      <c r="D19" s="6" t="s">
        <v>162</v>
      </c>
      <c r="E19" s="62" t="s">
        <v>6</v>
      </c>
    </row>
    <row r="20" spans="1:5" ht="15.6" customHeight="1" x14ac:dyDescent="0.25">
      <c r="A20" s="48">
        <f>A15+1</f>
        <v>46093</v>
      </c>
      <c r="B20" s="65" t="s">
        <v>163</v>
      </c>
      <c r="C20" s="21"/>
      <c r="D20" s="6" t="s">
        <v>164</v>
      </c>
      <c r="E20" s="62"/>
    </row>
    <row r="21" spans="1:5" ht="15.6" customHeight="1" x14ac:dyDescent="0.25">
      <c r="A21" s="47"/>
      <c r="B21" s="65" t="s">
        <v>90</v>
      </c>
      <c r="C21" s="21"/>
      <c r="D21" s="6" t="s">
        <v>69</v>
      </c>
      <c r="E21" s="62"/>
    </row>
    <row r="22" spans="1:5" ht="15.6" customHeight="1" thickBot="1" x14ac:dyDescent="0.3">
      <c r="A22" s="47"/>
      <c r="B22" s="65" t="s">
        <v>86</v>
      </c>
      <c r="C22" s="21"/>
      <c r="D22" s="6" t="s">
        <v>86</v>
      </c>
      <c r="E22" s="62"/>
    </row>
    <row r="23" spans="1:5" ht="15.6" customHeight="1" x14ac:dyDescent="0.25">
      <c r="A23" s="50"/>
      <c r="B23" s="64" t="s">
        <v>165</v>
      </c>
      <c r="C23" s="19"/>
      <c r="D23" s="5" t="s">
        <v>136</v>
      </c>
      <c r="E23" s="61"/>
    </row>
    <row r="24" spans="1:5" ht="15.6" customHeight="1" x14ac:dyDescent="0.25">
      <c r="A24" s="47" t="s">
        <v>15</v>
      </c>
      <c r="B24" s="65" t="s">
        <v>166</v>
      </c>
      <c r="C24" s="21" t="s">
        <v>79</v>
      </c>
      <c r="D24" s="6" t="s">
        <v>137</v>
      </c>
      <c r="E24" s="62" t="s">
        <v>290</v>
      </c>
    </row>
    <row r="25" spans="1:5" ht="15.6" customHeight="1" x14ac:dyDescent="0.25">
      <c r="A25" s="48">
        <f>A20+1</f>
        <v>46094</v>
      </c>
      <c r="B25" s="65" t="s">
        <v>101</v>
      </c>
      <c r="C25" s="21"/>
      <c r="D25" s="6" t="s">
        <v>147</v>
      </c>
      <c r="E25" s="62"/>
    </row>
    <row r="26" spans="1:5" ht="15.6" customHeight="1" x14ac:dyDescent="0.25">
      <c r="A26" s="47"/>
      <c r="B26" s="65" t="s">
        <v>90</v>
      </c>
      <c r="C26" s="21"/>
      <c r="D26" s="6" t="s">
        <v>69</v>
      </c>
      <c r="E26" s="62"/>
    </row>
    <row r="27" spans="1:5" ht="15.6" customHeight="1" thickBot="1" x14ac:dyDescent="0.3">
      <c r="A27" s="47"/>
      <c r="B27" s="65" t="s">
        <v>86</v>
      </c>
      <c r="C27" s="21"/>
      <c r="D27" s="6" t="s">
        <v>86</v>
      </c>
      <c r="E27" s="62"/>
    </row>
    <row r="28" spans="1:5" ht="15.6" customHeight="1" x14ac:dyDescent="0.25">
      <c r="A28" s="50"/>
      <c r="B28" s="66" t="s">
        <v>412</v>
      </c>
      <c r="C28" s="19"/>
      <c r="D28" s="5" t="s">
        <v>88</v>
      </c>
      <c r="E28" s="61"/>
    </row>
    <row r="29" spans="1:5" ht="15.6" customHeight="1" x14ac:dyDescent="0.25">
      <c r="A29" s="47" t="s">
        <v>17</v>
      </c>
      <c r="B29" s="63" t="s">
        <v>167</v>
      </c>
      <c r="C29" s="21" t="s">
        <v>6</v>
      </c>
      <c r="D29" s="6" t="s">
        <v>168</v>
      </c>
      <c r="E29" s="62" t="s">
        <v>6</v>
      </c>
    </row>
    <row r="30" spans="1:5" ht="15.6" customHeight="1" x14ac:dyDescent="0.25">
      <c r="A30" s="48">
        <f>A25+1</f>
        <v>46095</v>
      </c>
      <c r="B30" s="63" t="s">
        <v>169</v>
      </c>
      <c r="C30" s="21"/>
      <c r="D30" s="6"/>
      <c r="E30" s="62"/>
    </row>
    <row r="31" spans="1:5" ht="15" customHeight="1" x14ac:dyDescent="0.25">
      <c r="A31" s="47"/>
      <c r="B31" s="63" t="s">
        <v>90</v>
      </c>
      <c r="C31" s="21"/>
      <c r="D31" s="6" t="s">
        <v>69</v>
      </c>
      <c r="E31" s="62"/>
    </row>
    <row r="32" spans="1:5" ht="15" customHeight="1" thickBot="1" x14ac:dyDescent="0.3">
      <c r="A32" s="51"/>
      <c r="B32" s="67" t="s">
        <v>86</v>
      </c>
      <c r="C32" s="21"/>
      <c r="D32" s="6" t="s">
        <v>86</v>
      </c>
      <c r="E32" s="62"/>
    </row>
    <row r="33" spans="1:5" ht="15" customHeight="1" x14ac:dyDescent="0.25">
      <c r="A33" s="50"/>
      <c r="B33" s="64" t="s">
        <v>41</v>
      </c>
      <c r="C33" s="19"/>
      <c r="D33" s="5" t="s">
        <v>138</v>
      </c>
      <c r="E33" s="61"/>
    </row>
    <row r="34" spans="1:5" ht="15" customHeight="1" x14ac:dyDescent="0.25">
      <c r="A34" s="47" t="s">
        <v>21</v>
      </c>
      <c r="B34" s="63" t="s">
        <v>291</v>
      </c>
      <c r="C34" s="21" t="s">
        <v>6</v>
      </c>
      <c r="D34" s="6" t="s">
        <v>139</v>
      </c>
      <c r="E34" s="62" t="s">
        <v>292</v>
      </c>
    </row>
    <row r="35" spans="1:5" ht="15" customHeight="1" x14ac:dyDescent="0.25">
      <c r="A35" s="48">
        <f>A30+1</f>
        <v>46096</v>
      </c>
      <c r="B35" s="63" t="s">
        <v>63</v>
      </c>
      <c r="C35" s="21"/>
      <c r="D35" s="6" t="s">
        <v>171</v>
      </c>
      <c r="E35" s="62"/>
    </row>
    <row r="36" spans="1:5" ht="15" customHeight="1" x14ac:dyDescent="0.25">
      <c r="A36" s="47"/>
      <c r="B36" s="65" t="s">
        <v>90</v>
      </c>
      <c r="C36" s="21"/>
      <c r="D36" s="6" t="s">
        <v>69</v>
      </c>
      <c r="E36" s="62"/>
    </row>
    <row r="37" spans="1:5" ht="15" customHeight="1" thickBot="1" x14ac:dyDescent="0.3">
      <c r="A37" s="51"/>
      <c r="B37" s="68" t="s">
        <v>24</v>
      </c>
      <c r="C37" s="22"/>
      <c r="D37" s="69" t="s">
        <v>86</v>
      </c>
      <c r="E37" s="70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08D-1047-4EC3-AD0A-B87AAFA657DF}">
  <sheetPr codeName="Feuil13">
    <tabColor rgb="FF0070C0"/>
    <pageSetUpPr fitToPage="1"/>
  </sheetPr>
  <dimension ref="A1:E38"/>
  <sheetViews>
    <sheetView zoomScale="70" zoomScaleNormal="100" workbookViewId="0">
      <selection activeCell="D34" sqref="D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46097</v>
      </c>
      <c r="D1" s="39" t="s">
        <v>1</v>
      </c>
      <c r="E1" s="40">
        <f>A35</f>
        <v>46103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33</v>
      </c>
      <c r="C3" s="19"/>
      <c r="D3" s="23" t="s">
        <v>172</v>
      </c>
      <c r="E3" s="71"/>
    </row>
    <row r="4" spans="1:5" ht="15.6" customHeight="1" x14ac:dyDescent="0.25">
      <c r="A4" s="47" t="s">
        <v>5</v>
      </c>
      <c r="B4" s="20" t="s">
        <v>83</v>
      </c>
      <c r="C4" s="21" t="s">
        <v>6</v>
      </c>
      <c r="D4" s="24" t="s">
        <v>84</v>
      </c>
      <c r="E4" s="72" t="s">
        <v>6</v>
      </c>
    </row>
    <row r="5" spans="1:5" ht="15.6" customHeight="1" x14ac:dyDescent="0.25">
      <c r="A5" s="48">
        <f>'semaine 11'!A35+1</f>
        <v>46097</v>
      </c>
      <c r="B5" s="20" t="s">
        <v>85</v>
      </c>
      <c r="C5" s="21"/>
      <c r="D5" s="24"/>
      <c r="E5" s="72"/>
    </row>
    <row r="6" spans="1:5" ht="15.6" customHeight="1" x14ac:dyDescent="0.25">
      <c r="A6" s="48"/>
      <c r="B6" s="20" t="s">
        <v>23</v>
      </c>
      <c r="C6" s="21"/>
      <c r="D6" s="24" t="s">
        <v>69</v>
      </c>
      <c r="E6" s="72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72"/>
    </row>
    <row r="8" spans="1:5" ht="15.6" customHeight="1" x14ac:dyDescent="0.25">
      <c r="A8" s="50"/>
      <c r="B8" s="73" t="s">
        <v>87</v>
      </c>
      <c r="C8" s="19"/>
      <c r="D8" s="23" t="s">
        <v>88</v>
      </c>
      <c r="E8" s="71"/>
    </row>
    <row r="9" spans="1:5" ht="15.6" customHeight="1" x14ac:dyDescent="0.25">
      <c r="A9" s="47" t="s">
        <v>7</v>
      </c>
      <c r="B9" s="20" t="s">
        <v>173</v>
      </c>
      <c r="C9" s="21" t="s">
        <v>6</v>
      </c>
      <c r="D9" s="24" t="s">
        <v>174</v>
      </c>
      <c r="E9" s="72" t="s">
        <v>6</v>
      </c>
    </row>
    <row r="10" spans="1:5" ht="15.6" customHeight="1" x14ac:dyDescent="0.25">
      <c r="A10" s="48">
        <f>A5+1</f>
        <v>46098</v>
      </c>
      <c r="B10" s="20"/>
      <c r="C10" s="21"/>
      <c r="D10" s="24" t="s">
        <v>175</v>
      </c>
      <c r="E10" s="72"/>
    </row>
    <row r="11" spans="1:5" ht="15.6" customHeight="1" x14ac:dyDescent="0.25">
      <c r="A11" s="47"/>
      <c r="B11" s="20"/>
      <c r="C11" s="21"/>
      <c r="D11" s="24" t="s">
        <v>69</v>
      </c>
      <c r="E11" s="72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72"/>
    </row>
    <row r="13" spans="1:5" ht="15.6" customHeight="1" x14ac:dyDescent="0.25">
      <c r="A13" s="50"/>
      <c r="B13" s="18" t="s">
        <v>176</v>
      </c>
      <c r="C13" s="19"/>
      <c r="D13" s="23" t="s">
        <v>92</v>
      </c>
      <c r="E13" s="71"/>
    </row>
    <row r="14" spans="1:5" ht="15.6" customHeight="1" x14ac:dyDescent="0.25">
      <c r="A14" s="47" t="s">
        <v>9</v>
      </c>
      <c r="B14" s="20" t="s">
        <v>285</v>
      </c>
      <c r="C14" s="21" t="s">
        <v>6</v>
      </c>
      <c r="D14" s="24" t="s">
        <v>177</v>
      </c>
      <c r="E14" s="72" t="s">
        <v>6</v>
      </c>
    </row>
    <row r="15" spans="1:5" ht="15.6" customHeight="1" x14ac:dyDescent="0.25">
      <c r="A15" s="48">
        <f>A10+1</f>
        <v>46099</v>
      </c>
      <c r="B15" s="20" t="s">
        <v>74</v>
      </c>
      <c r="C15" s="21"/>
      <c r="D15" s="24"/>
      <c r="E15" s="72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72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74"/>
    </row>
    <row r="18" spans="1:5" ht="15.6" customHeight="1" x14ac:dyDescent="0.25">
      <c r="A18" s="50"/>
      <c r="B18" s="18" t="s">
        <v>178</v>
      </c>
      <c r="C18" s="19"/>
      <c r="D18" s="23" t="s">
        <v>93</v>
      </c>
      <c r="E18" s="72"/>
    </row>
    <row r="19" spans="1:5" ht="15.6" customHeight="1" x14ac:dyDescent="0.25">
      <c r="A19" s="47" t="s">
        <v>10</v>
      </c>
      <c r="B19" s="20" t="s">
        <v>81</v>
      </c>
      <c r="C19" s="21" t="s">
        <v>6</v>
      </c>
      <c r="D19" s="24" t="s">
        <v>179</v>
      </c>
      <c r="E19" s="72"/>
    </row>
    <row r="20" spans="1:5" ht="15.6" customHeight="1" x14ac:dyDescent="0.25">
      <c r="A20" s="48">
        <f>A15+1</f>
        <v>46100</v>
      </c>
      <c r="B20" s="20" t="s">
        <v>180</v>
      </c>
      <c r="C20" s="21"/>
      <c r="D20" s="24" t="s">
        <v>140</v>
      </c>
      <c r="E20" s="72"/>
    </row>
    <row r="21" spans="1:5" ht="15.6" customHeight="1" x14ac:dyDescent="0.25">
      <c r="A21" s="47"/>
      <c r="B21" s="20"/>
      <c r="C21" s="21"/>
      <c r="D21" s="24" t="s">
        <v>69</v>
      </c>
      <c r="E21" s="72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72"/>
    </row>
    <row r="23" spans="1:5" ht="15.6" customHeight="1" x14ac:dyDescent="0.25">
      <c r="A23" s="50"/>
      <c r="B23" s="18" t="s">
        <v>95</v>
      </c>
      <c r="C23" s="19"/>
      <c r="D23" s="23" t="s">
        <v>181</v>
      </c>
      <c r="E23" s="71"/>
    </row>
    <row r="24" spans="1:5" ht="15.6" customHeight="1" x14ac:dyDescent="0.25">
      <c r="A24" s="47" t="s">
        <v>15</v>
      </c>
      <c r="B24" s="20" t="s">
        <v>182</v>
      </c>
      <c r="C24" s="21"/>
      <c r="D24" s="24" t="s">
        <v>183</v>
      </c>
      <c r="E24" s="72" t="s">
        <v>6</v>
      </c>
    </row>
    <row r="25" spans="1:5" ht="15.6" customHeight="1" x14ac:dyDescent="0.25">
      <c r="A25" s="48">
        <f>A20+1</f>
        <v>46101</v>
      </c>
      <c r="B25" s="20" t="s">
        <v>184</v>
      </c>
      <c r="C25" s="21"/>
      <c r="D25" s="24"/>
      <c r="E25" s="72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72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75"/>
    </row>
    <row r="28" spans="1:5" ht="15.6" customHeight="1" x14ac:dyDescent="0.25">
      <c r="A28" s="50"/>
      <c r="B28" s="18" t="s">
        <v>96</v>
      </c>
      <c r="C28" s="19"/>
      <c r="D28" s="23" t="s">
        <v>88</v>
      </c>
      <c r="E28" s="76"/>
    </row>
    <row r="29" spans="1:5" ht="15.6" customHeight="1" x14ac:dyDescent="0.25">
      <c r="A29" s="47" t="s">
        <v>17</v>
      </c>
      <c r="B29" s="20" t="s">
        <v>185</v>
      </c>
      <c r="C29" s="21" t="s">
        <v>6</v>
      </c>
      <c r="D29" s="24" t="s">
        <v>186</v>
      </c>
      <c r="E29" s="76" t="s">
        <v>6</v>
      </c>
    </row>
    <row r="30" spans="1:5" ht="15.6" customHeight="1" x14ac:dyDescent="0.25">
      <c r="A30" s="48">
        <f>A25+1</f>
        <v>46102</v>
      </c>
      <c r="B30" s="20"/>
      <c r="C30" s="21"/>
      <c r="D30" s="24"/>
      <c r="E30" s="76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76"/>
    </row>
    <row r="32" spans="1:5" ht="15" customHeight="1" thickBot="1" x14ac:dyDescent="0.3">
      <c r="A32" s="51"/>
      <c r="B32" s="20" t="s">
        <v>86</v>
      </c>
      <c r="C32" s="21"/>
      <c r="D32" s="25" t="s">
        <v>86</v>
      </c>
      <c r="E32" s="76"/>
    </row>
    <row r="33" spans="1:5" ht="15" customHeight="1" x14ac:dyDescent="0.25">
      <c r="A33" s="50"/>
      <c r="B33" s="18" t="s">
        <v>33</v>
      </c>
      <c r="C33" s="19"/>
      <c r="D33" s="23" t="s">
        <v>187</v>
      </c>
      <c r="E33" s="77"/>
    </row>
    <row r="34" spans="1:5" ht="15" customHeight="1" x14ac:dyDescent="0.25">
      <c r="A34" s="47" t="s">
        <v>21</v>
      </c>
      <c r="B34" s="20" t="s">
        <v>99</v>
      </c>
      <c r="C34" s="21" t="s">
        <v>6</v>
      </c>
      <c r="D34" s="24" t="s">
        <v>286</v>
      </c>
      <c r="E34" s="76"/>
    </row>
    <row r="35" spans="1:5" ht="15" customHeight="1" x14ac:dyDescent="0.25">
      <c r="A35" s="48">
        <f>A30+1</f>
        <v>46103</v>
      </c>
      <c r="B35" s="20" t="s">
        <v>188</v>
      </c>
      <c r="C35" s="21"/>
      <c r="D35" s="24" t="s">
        <v>189</v>
      </c>
      <c r="E35" s="76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76"/>
    </row>
    <row r="37" spans="1:5" ht="15" customHeight="1" thickBot="1" x14ac:dyDescent="0.3">
      <c r="A37" s="51"/>
      <c r="B37" s="78" t="s">
        <v>24</v>
      </c>
      <c r="C37" s="22"/>
      <c r="D37" s="25" t="s">
        <v>86</v>
      </c>
      <c r="E37" s="75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CB82-443A-4E4B-BF21-C45C6D51719D}">
  <sheetPr codeName="Feuil14">
    <tabColor rgb="FF0070C0"/>
    <pageSetUpPr fitToPage="1"/>
  </sheetPr>
  <dimension ref="A1:E38"/>
  <sheetViews>
    <sheetView zoomScale="70" zoomScaleNormal="100" workbookViewId="0">
      <selection activeCell="B30" sqref="B30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46104</v>
      </c>
      <c r="D1" s="39" t="s">
        <v>1</v>
      </c>
      <c r="E1" s="40">
        <f>A35</f>
        <v>46110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f>'semaine 12'!A35+1</f>
        <v>46104</v>
      </c>
      <c r="B5" s="20" t="s">
        <v>193</v>
      </c>
      <c r="C5" s="21"/>
      <c r="D5" s="24" t="s">
        <v>77</v>
      </c>
      <c r="E5" s="21"/>
    </row>
    <row r="6" spans="1:5" ht="15.6" customHeight="1" x14ac:dyDescent="0.25">
      <c r="A6" s="48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46105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46106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46107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60" t="s">
        <v>295</v>
      </c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46108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46109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6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204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46110</v>
      </c>
      <c r="B35" s="20" t="s">
        <v>101</v>
      </c>
      <c r="C35" s="21"/>
      <c r="D35" s="24" t="s">
        <v>205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25" t="s">
        <v>86</v>
      </c>
      <c r="E37" s="79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B8A6-F7E8-41FB-B9B1-DE705C51D6C1}">
  <sheetPr codeName="Feuil15">
    <tabColor rgb="FF0070C0"/>
  </sheetPr>
  <dimension ref="A1:E47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46111</v>
      </c>
      <c r="D1" s="39" t="s">
        <v>1</v>
      </c>
      <c r="E1" s="40">
        <f>A35</f>
        <v>46117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206</v>
      </c>
      <c r="E4" s="30"/>
    </row>
    <row r="5" spans="1:5" ht="15.6" customHeight="1" x14ac:dyDescent="0.3">
      <c r="B5" s="20" t="s">
        <v>107</v>
      </c>
      <c r="C5" s="29"/>
      <c r="D5" s="4" t="s">
        <v>287</v>
      </c>
      <c r="E5" s="30"/>
    </row>
    <row r="6" spans="1:5" ht="15.6" customHeight="1" x14ac:dyDescent="0.3">
      <c r="A6" s="48">
        <f>'semaine 13'!A35+1</f>
        <v>46111</v>
      </c>
      <c r="B6" s="20" t="s">
        <v>90</v>
      </c>
      <c r="C6" s="29"/>
      <c r="D6" s="4" t="s">
        <v>428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429</v>
      </c>
      <c r="E7" s="30"/>
    </row>
    <row r="8" spans="1:5" ht="15.6" customHeight="1" x14ac:dyDescent="0.3">
      <c r="A8" s="50"/>
      <c r="B8" s="18" t="s">
        <v>178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A6+1</f>
        <v>46112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428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293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46113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428</v>
      </c>
      <c r="E16" s="30"/>
    </row>
    <row r="17" spans="1:5" ht="15.6" customHeight="1" thickBot="1" x14ac:dyDescent="0.35">
      <c r="A17" s="47"/>
      <c r="B17" s="20" t="s">
        <v>429</v>
      </c>
      <c r="C17" s="29"/>
      <c r="D17" s="6" t="s">
        <v>429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46114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428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109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46115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428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429</v>
      </c>
      <c r="E27" s="30"/>
    </row>
    <row r="28" spans="1:5" ht="15.6" customHeight="1" x14ac:dyDescent="0.3">
      <c r="A28" s="50"/>
      <c r="B28" s="18" t="s">
        <v>146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218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46116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428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46117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428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9" spans="1:5" x14ac:dyDescent="0.25">
      <c r="A39" s="84"/>
      <c r="B39" s="85"/>
      <c r="C39" s="85"/>
    </row>
    <row r="40" spans="1:5" x14ac:dyDescent="0.25">
      <c r="A40" s="84"/>
      <c r="B40" s="85"/>
      <c r="C40" s="85"/>
    </row>
    <row r="41" spans="1:5" x14ac:dyDescent="0.25">
      <c r="A41" s="84"/>
      <c r="B41" s="85"/>
      <c r="C41" s="85"/>
    </row>
    <row r="42" spans="1:5" x14ac:dyDescent="0.25">
      <c r="A42" s="84"/>
      <c r="B42" s="85"/>
      <c r="C42" s="85"/>
    </row>
    <row r="43" spans="1:5" ht="18.75" x14ac:dyDescent="0.25">
      <c r="A43" s="84"/>
      <c r="B43" s="20"/>
      <c r="C43" s="85"/>
    </row>
    <row r="44" spans="1:5" ht="18.75" x14ac:dyDescent="0.25">
      <c r="A44" s="84"/>
      <c r="B44" s="65"/>
      <c r="C44" s="85"/>
    </row>
    <row r="45" spans="1:5" x14ac:dyDescent="0.25">
      <c r="A45" s="84"/>
      <c r="B45" s="85"/>
      <c r="C45" s="85"/>
    </row>
    <row r="46" spans="1:5" x14ac:dyDescent="0.25">
      <c r="A46" s="84"/>
      <c r="B46" s="85"/>
      <c r="C46" s="85"/>
    </row>
    <row r="47" spans="1:5" x14ac:dyDescent="0.25">
      <c r="A47" s="84"/>
      <c r="B47" s="85"/>
      <c r="C47" s="85"/>
    </row>
  </sheetData>
  <pageMargins left="0.11811023622047244" right="0.11811023622047244" top="0.19685039370078741" bottom="0.19685039370078741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647E-5B27-4A0F-B8DE-A7925043ABB7}">
  <sheetPr codeName="Feuil16">
    <tabColor rgb="FF92D050"/>
  </sheetPr>
  <dimension ref="A1:E37"/>
  <sheetViews>
    <sheetView view="pageLayout" zoomScaleNormal="100" workbookViewId="0">
      <selection activeCell="C39" sqref="C3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46118</v>
      </c>
      <c r="D1" s="39" t="s">
        <v>1</v>
      </c>
      <c r="E1" s="40">
        <f>A35</f>
        <v>46124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81"/>
      <c r="B3" s="87" t="s">
        <v>319</v>
      </c>
      <c r="C3" s="88"/>
      <c r="D3" s="89"/>
      <c r="E3" s="90"/>
    </row>
    <row r="4" spans="1:5" ht="15.6" customHeight="1" x14ac:dyDescent="0.25">
      <c r="A4" s="82" t="s">
        <v>5</v>
      </c>
      <c r="B4" s="91" t="s">
        <v>322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A5" s="83">
        <f>'semaine 14'!A35+1</f>
        <v>46118</v>
      </c>
      <c r="B5" s="91" t="s">
        <v>320</v>
      </c>
      <c r="C5" s="92"/>
      <c r="D5" s="93"/>
      <c r="E5" s="94"/>
    </row>
    <row r="6" spans="1:5" ht="15.6" customHeight="1" x14ac:dyDescent="0.25">
      <c r="A6" s="83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24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4" t="s">
        <v>6</v>
      </c>
    </row>
    <row r="10" spans="1:5" ht="15.6" customHeight="1" x14ac:dyDescent="0.25">
      <c r="A10" s="48">
        <f>A5+1</f>
        <v>46119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46120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 t="s">
        <v>326</v>
      </c>
      <c r="C19" s="92" t="s">
        <v>6</v>
      </c>
      <c r="D19" s="93" t="s">
        <v>328</v>
      </c>
      <c r="E19" s="94" t="s">
        <v>6</v>
      </c>
    </row>
    <row r="20" spans="1:5" ht="15.6" customHeight="1" x14ac:dyDescent="0.25">
      <c r="A20" s="48">
        <f>A15+1</f>
        <v>46121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46122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46123</v>
      </c>
      <c r="B30" s="95" t="s">
        <v>330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89" t="s">
        <v>33</v>
      </c>
      <c r="E33" s="90"/>
    </row>
    <row r="34" spans="1:5" ht="15" customHeight="1" x14ac:dyDescent="0.25">
      <c r="A34" s="47" t="s">
        <v>21</v>
      </c>
      <c r="B34" s="95" t="s">
        <v>332</v>
      </c>
      <c r="C34" s="92" t="s">
        <v>6</v>
      </c>
      <c r="D34" s="93" t="s">
        <v>318</v>
      </c>
      <c r="E34" s="94" t="s">
        <v>6</v>
      </c>
    </row>
    <row r="35" spans="1:5" ht="15" customHeight="1" x14ac:dyDescent="0.25">
      <c r="A35" s="48">
        <f>A30+1</f>
        <v>46124</v>
      </c>
      <c r="B35" s="95" t="s">
        <v>188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</sheetData>
  <pageMargins left="0.11811023622047244" right="0.11811023622047244" top="0.19685039370078741" bottom="0.19685039370078741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B8B4-6D33-49B6-8D18-6D22B5F78544}">
  <sheetPr codeName="Feuil17">
    <tabColor rgb="FF92D050"/>
  </sheetPr>
  <dimension ref="A1:K37"/>
  <sheetViews>
    <sheetView view="pageLayout" topLeftCell="A4" zoomScale="85" zoomScaleNormal="85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46125</v>
      </c>
      <c r="D1" s="39" t="s">
        <v>1</v>
      </c>
      <c r="E1" s="40">
        <f>A35</f>
        <v>46131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344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345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15'!A35+1</f>
        <v>46125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333</v>
      </c>
      <c r="C9" s="92" t="s">
        <v>6</v>
      </c>
      <c r="D9" s="93" t="s">
        <v>361</v>
      </c>
      <c r="E9" s="92" t="s">
        <v>6</v>
      </c>
    </row>
    <row r="10" spans="1:5" ht="15.6" customHeight="1" x14ac:dyDescent="0.25">
      <c r="A10" s="48">
        <f>A5+1</f>
        <v>46126</v>
      </c>
      <c r="B10" s="95" t="s">
        <v>346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117</v>
      </c>
      <c r="C13" s="88"/>
      <c r="D13" s="89" t="s">
        <v>362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46127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11" ht="15.6" customHeight="1" thickBot="1" x14ac:dyDescent="0.3">
      <c r="A17" s="47"/>
      <c r="B17" s="95" t="s">
        <v>221</v>
      </c>
      <c r="C17" s="92"/>
      <c r="D17" s="96" t="s">
        <v>221</v>
      </c>
      <c r="E17" s="98"/>
      <c r="K17" t="s">
        <v>45</v>
      </c>
    </row>
    <row r="18" spans="1:11" ht="15.6" customHeight="1" x14ac:dyDescent="0.25">
      <c r="A18" s="50"/>
      <c r="B18" s="97" t="s">
        <v>349</v>
      </c>
      <c r="C18" s="88"/>
      <c r="D18" s="89" t="s">
        <v>334</v>
      </c>
      <c r="E18" s="94"/>
    </row>
    <row r="19" spans="1:11" ht="15.6" customHeight="1" x14ac:dyDescent="0.25">
      <c r="A19" s="47" t="s">
        <v>10</v>
      </c>
      <c r="B19" s="95" t="s">
        <v>350</v>
      </c>
      <c r="C19" s="92" t="s">
        <v>6</v>
      </c>
      <c r="D19" s="93" t="s">
        <v>364</v>
      </c>
      <c r="E19" s="94" t="s">
        <v>6</v>
      </c>
    </row>
    <row r="20" spans="1:11" ht="15.6" customHeight="1" x14ac:dyDescent="0.25">
      <c r="A20" s="48">
        <f>A15+1</f>
        <v>46128</v>
      </c>
      <c r="B20" s="95" t="s">
        <v>208</v>
      </c>
      <c r="C20" s="92"/>
      <c r="D20" s="93" t="s">
        <v>365</v>
      </c>
      <c r="E20" s="94"/>
    </row>
    <row r="21" spans="1:11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11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11" ht="15.6" customHeight="1" x14ac:dyDescent="0.25">
      <c r="A23" s="50"/>
      <c r="B23" s="97" t="s">
        <v>351</v>
      </c>
      <c r="C23" s="88"/>
      <c r="D23" s="89" t="s">
        <v>33</v>
      </c>
      <c r="E23" s="90"/>
    </row>
    <row r="24" spans="1:11" ht="15.6" customHeight="1" x14ac:dyDescent="0.25">
      <c r="A24" s="47" t="s">
        <v>15</v>
      </c>
      <c r="B24" s="95" t="s">
        <v>352</v>
      </c>
      <c r="C24" s="92" t="s">
        <v>6</v>
      </c>
      <c r="D24" s="93" t="s">
        <v>366</v>
      </c>
      <c r="E24" s="94" t="s">
        <v>6</v>
      </c>
    </row>
    <row r="25" spans="1:11" ht="15.6" customHeight="1" x14ac:dyDescent="0.25">
      <c r="A25" s="48">
        <f>A20+1</f>
        <v>46129</v>
      </c>
      <c r="B25" s="95"/>
      <c r="C25" s="92"/>
      <c r="D25" s="93"/>
      <c r="E25" s="94"/>
    </row>
    <row r="26" spans="1:11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11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11" ht="15.6" customHeight="1" x14ac:dyDescent="0.25">
      <c r="A28" s="50"/>
      <c r="B28" s="97" t="s">
        <v>353</v>
      </c>
      <c r="C28" s="88"/>
      <c r="D28" s="89" t="s">
        <v>367</v>
      </c>
      <c r="E28" s="94"/>
    </row>
    <row r="29" spans="1:11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11" ht="15.6" customHeight="1" x14ac:dyDescent="0.25">
      <c r="A30" s="48">
        <f>A25+1</f>
        <v>46130</v>
      </c>
      <c r="B30" s="95" t="s">
        <v>77</v>
      </c>
      <c r="C30" s="92"/>
      <c r="D30" s="93" t="s">
        <v>329</v>
      </c>
      <c r="E30" s="94"/>
    </row>
    <row r="31" spans="1:11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11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355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356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46131</v>
      </c>
      <c r="B35" s="95" t="s">
        <v>357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7F21-0642-4D01-AEA2-D2D8BC91D9CB}">
  <sheetPr codeName="Feuil18">
    <tabColor rgb="FF92D050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46132</v>
      </c>
      <c r="D1" s="39" t="s">
        <v>1</v>
      </c>
      <c r="E1" s="40">
        <f>A35</f>
        <v>46138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347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16'!A35+1</f>
        <v>46132</v>
      </c>
      <c r="B5" s="91" t="s">
        <v>369</v>
      </c>
      <c r="C5" s="92"/>
      <c r="D5" s="93" t="s">
        <v>382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335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46133</v>
      </c>
      <c r="B10" s="95"/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371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46134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337</v>
      </c>
      <c r="E18" s="94"/>
    </row>
    <row r="19" spans="1:5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5" ht="15.6" customHeight="1" x14ac:dyDescent="0.25">
      <c r="A20" s="48">
        <f>A15+1</f>
        <v>46135</v>
      </c>
      <c r="B20" s="95" t="s">
        <v>77</v>
      </c>
      <c r="C20" s="92"/>
      <c r="D20" s="93" t="s">
        <v>388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5" ht="15.6" customHeight="1" x14ac:dyDescent="0.25">
      <c r="A24" s="47" t="s">
        <v>15</v>
      </c>
      <c r="B24" s="95" t="s">
        <v>373</v>
      </c>
      <c r="C24" s="92" t="s">
        <v>6</v>
      </c>
      <c r="D24" s="93" t="s">
        <v>390</v>
      </c>
      <c r="E24" s="94" t="s">
        <v>6</v>
      </c>
    </row>
    <row r="25" spans="1:5" ht="15.6" customHeight="1" x14ac:dyDescent="0.25">
      <c r="A25" s="48">
        <f>A20+1</f>
        <v>46136</v>
      </c>
      <c r="B25" s="95" t="s">
        <v>374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375</v>
      </c>
      <c r="C28" s="88"/>
      <c r="D28" s="89" t="s">
        <v>355</v>
      </c>
      <c r="E28" s="94"/>
    </row>
    <row r="29" spans="1:5" ht="15.6" customHeight="1" x14ac:dyDescent="0.25">
      <c r="A29" s="47" t="s">
        <v>17</v>
      </c>
      <c r="B29" s="95" t="s">
        <v>376</v>
      </c>
      <c r="C29" s="92" t="s">
        <v>6</v>
      </c>
      <c r="D29" s="93" t="s">
        <v>391</v>
      </c>
      <c r="E29" s="94" t="s">
        <v>6</v>
      </c>
    </row>
    <row r="30" spans="1:5" ht="15.6" customHeight="1" x14ac:dyDescent="0.25">
      <c r="A30" s="48">
        <f>A25+1</f>
        <v>46137</v>
      </c>
      <c r="B30" s="95" t="s">
        <v>377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392</v>
      </c>
      <c r="E33" s="90"/>
    </row>
    <row r="34" spans="1:5" ht="15" customHeight="1" x14ac:dyDescent="0.25">
      <c r="A34" s="47" t="s">
        <v>21</v>
      </c>
      <c r="B34" s="95" t="s">
        <v>378</v>
      </c>
      <c r="C34" s="92" t="s">
        <v>6</v>
      </c>
      <c r="D34" s="93" t="s">
        <v>430</v>
      </c>
      <c r="E34" s="94" t="s">
        <v>6</v>
      </c>
    </row>
    <row r="35" spans="1:5" ht="15" customHeight="1" x14ac:dyDescent="0.25">
      <c r="A35" s="48">
        <f>A30+1</f>
        <v>46138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50A8-0717-48E4-B88D-B1625179D63B}">
  <sheetPr codeName="Feuil19">
    <tabColor rgb="FF92D050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46139</v>
      </c>
      <c r="D1" s="39" t="s">
        <v>1</v>
      </c>
      <c r="E1" s="40">
        <f>A35</f>
        <v>46145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360</v>
      </c>
      <c r="C3" s="88"/>
      <c r="D3" s="89" t="s">
        <v>397</v>
      </c>
      <c r="E3" s="90"/>
    </row>
    <row r="4" spans="1:5" ht="15.6" customHeight="1" x14ac:dyDescent="0.25">
      <c r="A4" s="47" t="s">
        <v>5</v>
      </c>
      <c r="B4" s="95" t="s">
        <v>393</v>
      </c>
      <c r="C4" s="92" t="s">
        <v>6</v>
      </c>
      <c r="D4" s="93" t="s">
        <v>385</v>
      </c>
      <c r="E4" s="94" t="s">
        <v>6</v>
      </c>
    </row>
    <row r="5" spans="1:5" ht="15.6" customHeight="1" x14ac:dyDescent="0.25">
      <c r="A5" s="48">
        <f>'semaine 17'!A35+1</f>
        <v>46139</v>
      </c>
      <c r="B5" s="91" t="s">
        <v>394</v>
      </c>
      <c r="C5" s="92"/>
      <c r="D5" s="93" t="s">
        <v>386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398</v>
      </c>
      <c r="E8" s="90"/>
    </row>
    <row r="9" spans="1:5" ht="15.6" customHeight="1" x14ac:dyDescent="0.25">
      <c r="A9" s="47" t="s">
        <v>7</v>
      </c>
      <c r="B9" s="95" t="s">
        <v>126</v>
      </c>
      <c r="C9" s="92" t="s">
        <v>6</v>
      </c>
      <c r="D9" s="93" t="s">
        <v>381</v>
      </c>
      <c r="E9" s="92" t="s">
        <v>6</v>
      </c>
    </row>
    <row r="10" spans="1:5" ht="15.6" customHeight="1" x14ac:dyDescent="0.25">
      <c r="A10" s="48">
        <f>A5+1</f>
        <v>46140</v>
      </c>
      <c r="B10" s="95" t="s">
        <v>338</v>
      </c>
      <c r="C10" s="92"/>
      <c r="D10" s="93" t="s">
        <v>348</v>
      </c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367</v>
      </c>
      <c r="C13" s="88"/>
      <c r="D13" s="89" t="s">
        <v>399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400</v>
      </c>
      <c r="E14" s="94" t="s">
        <v>6</v>
      </c>
    </row>
    <row r="15" spans="1:5" ht="15.6" customHeight="1" x14ac:dyDescent="0.25">
      <c r="A15" s="48">
        <f>A10+1</f>
        <v>46141</v>
      </c>
      <c r="B15" s="95" t="s">
        <v>372</v>
      </c>
      <c r="C15" s="92"/>
      <c r="D15" s="93" t="s">
        <v>346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362</v>
      </c>
      <c r="C18" s="88"/>
      <c r="D18" s="89" t="s">
        <v>401</v>
      </c>
      <c r="E18" s="94"/>
    </row>
    <row r="19" spans="1:5" ht="15.6" customHeight="1" x14ac:dyDescent="0.25">
      <c r="A19" s="47" t="s">
        <v>10</v>
      </c>
      <c r="B19" s="95" t="s">
        <v>431</v>
      </c>
      <c r="C19" s="92" t="s">
        <v>6</v>
      </c>
      <c r="D19" s="93" t="s">
        <v>402</v>
      </c>
      <c r="E19" s="94" t="s">
        <v>6</v>
      </c>
    </row>
    <row r="20" spans="1:5" ht="15.6" customHeight="1" x14ac:dyDescent="0.25">
      <c r="A20" s="48">
        <f>A15+1</f>
        <v>46142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351</v>
      </c>
      <c r="C23" s="88"/>
      <c r="D23" s="89" t="s">
        <v>344</v>
      </c>
      <c r="E23" s="90"/>
    </row>
    <row r="24" spans="1:5" ht="15.6" customHeight="1" x14ac:dyDescent="0.25">
      <c r="A24" s="47" t="s">
        <v>15</v>
      </c>
      <c r="B24" s="95" t="s">
        <v>432</v>
      </c>
      <c r="C24" s="92" t="s">
        <v>6</v>
      </c>
      <c r="D24" s="93" t="s">
        <v>403</v>
      </c>
      <c r="E24" s="94" t="s">
        <v>6</v>
      </c>
    </row>
    <row r="25" spans="1:5" ht="15.6" customHeight="1" x14ac:dyDescent="0.25">
      <c r="A25" s="48">
        <f>A20+1</f>
        <v>46143</v>
      </c>
      <c r="B25" s="95" t="s">
        <v>16</v>
      </c>
      <c r="C25" s="92"/>
      <c r="D25" s="93" t="s">
        <v>82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24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395</v>
      </c>
      <c r="C28" s="88"/>
      <c r="D28" s="89" t="s">
        <v>33</v>
      </c>
      <c r="E28" s="94"/>
    </row>
    <row r="29" spans="1:5" ht="15.6" customHeight="1" x14ac:dyDescent="0.25">
      <c r="A29" s="47" t="s">
        <v>17</v>
      </c>
      <c r="B29" s="95" t="s">
        <v>356</v>
      </c>
      <c r="C29" s="92" t="s">
        <v>6</v>
      </c>
      <c r="D29" s="93" t="s">
        <v>368</v>
      </c>
      <c r="E29" s="94" t="s">
        <v>6</v>
      </c>
    </row>
    <row r="30" spans="1:5" ht="15.6" customHeight="1" x14ac:dyDescent="0.25">
      <c r="A30" s="48">
        <f>A25+1</f>
        <v>46144</v>
      </c>
      <c r="B30" s="95" t="s">
        <v>369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176</v>
      </c>
      <c r="C33" s="88"/>
      <c r="D33" s="93" t="s">
        <v>404</v>
      </c>
      <c r="E33" s="90"/>
    </row>
    <row r="34" spans="1:5" ht="15" customHeight="1" x14ac:dyDescent="0.25">
      <c r="A34" s="47" t="s">
        <v>21</v>
      </c>
      <c r="B34" s="95" t="s">
        <v>289</v>
      </c>
      <c r="C34" s="92" t="s">
        <v>6</v>
      </c>
      <c r="D34" s="93" t="s">
        <v>405</v>
      </c>
      <c r="E34" s="94" t="s">
        <v>6</v>
      </c>
    </row>
    <row r="35" spans="1:5" ht="15" customHeight="1" x14ac:dyDescent="0.25">
      <c r="A35" s="48">
        <f>A30+1</f>
        <v>46145</v>
      </c>
      <c r="B35" s="95" t="s">
        <v>396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9115-DD24-47D7-A157-7CE3EB038A6E}">
  <sheetPr codeName="Feuil20">
    <tabColor rgb="FF92D050"/>
    <pageSetUpPr fitToPage="1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46146</v>
      </c>
      <c r="D1" s="39" t="s">
        <v>1</v>
      </c>
      <c r="E1" s="40">
        <f>A35</f>
        <v>46152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406</v>
      </c>
      <c r="C3" s="88"/>
      <c r="D3" s="89" t="s">
        <v>142</v>
      </c>
      <c r="E3" s="90"/>
    </row>
    <row r="4" spans="1:5" ht="15.6" customHeight="1" x14ac:dyDescent="0.25">
      <c r="A4" s="47" t="s">
        <v>5</v>
      </c>
      <c r="B4" s="95" t="s">
        <v>407</v>
      </c>
      <c r="C4" s="92" t="s">
        <v>6</v>
      </c>
      <c r="D4" s="93" t="s">
        <v>417</v>
      </c>
      <c r="E4" s="94" t="s">
        <v>6</v>
      </c>
    </row>
    <row r="5" spans="1:5" ht="15.6" customHeight="1" x14ac:dyDescent="0.25">
      <c r="A5" s="48">
        <f>'semaine 18'!A35+1</f>
        <v>46146</v>
      </c>
      <c r="B5" s="91" t="s">
        <v>66</v>
      </c>
      <c r="C5" s="92"/>
      <c r="D5" s="93"/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311</v>
      </c>
      <c r="C8" s="88"/>
      <c r="D8" s="89" t="s">
        <v>418</v>
      </c>
      <c r="E8" s="90"/>
    </row>
    <row r="9" spans="1:5" ht="15.6" customHeight="1" x14ac:dyDescent="0.25">
      <c r="A9" s="47" t="s">
        <v>7</v>
      </c>
      <c r="B9" s="95" t="s">
        <v>339</v>
      </c>
      <c r="C9" s="92" t="s">
        <v>6</v>
      </c>
      <c r="D9" s="93" t="s">
        <v>419</v>
      </c>
      <c r="E9" s="94" t="s">
        <v>6</v>
      </c>
    </row>
    <row r="10" spans="1:5" ht="15.6" customHeight="1" x14ac:dyDescent="0.25">
      <c r="A10" s="48">
        <f>A5+1</f>
        <v>46147</v>
      </c>
      <c r="B10" s="95" t="s">
        <v>340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33</v>
      </c>
      <c r="C13" s="88"/>
      <c r="D13" s="89" t="s">
        <v>420</v>
      </c>
      <c r="E13" s="90"/>
    </row>
    <row r="14" spans="1:5" ht="15.6" customHeight="1" x14ac:dyDescent="0.25">
      <c r="A14" s="47" t="s">
        <v>9</v>
      </c>
      <c r="B14" s="95" t="s">
        <v>350</v>
      </c>
      <c r="C14" s="92" t="s">
        <v>6</v>
      </c>
      <c r="D14" s="93" t="s">
        <v>421</v>
      </c>
      <c r="E14" s="94" t="s">
        <v>6</v>
      </c>
    </row>
    <row r="15" spans="1:5" ht="15.6" customHeight="1" x14ac:dyDescent="0.25">
      <c r="A15" s="48">
        <f>A10+1</f>
        <v>46148</v>
      </c>
      <c r="B15" s="95" t="s">
        <v>447</v>
      </c>
      <c r="C15" s="92"/>
      <c r="D15" s="93" t="s">
        <v>82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437</v>
      </c>
      <c r="E18" s="94"/>
    </row>
    <row r="19" spans="1:5" ht="15.6" customHeight="1" x14ac:dyDescent="0.25">
      <c r="A19" s="47" t="s">
        <v>10</v>
      </c>
      <c r="B19" s="95" t="s">
        <v>413</v>
      </c>
      <c r="C19" s="92" t="s">
        <v>6</v>
      </c>
      <c r="D19" s="93" t="s">
        <v>422</v>
      </c>
      <c r="E19" s="94" t="s">
        <v>6</v>
      </c>
    </row>
    <row r="20" spans="1:5" ht="15.6" customHeight="1" x14ac:dyDescent="0.25">
      <c r="A20" s="48">
        <f>A15+1</f>
        <v>46149</v>
      </c>
      <c r="B20" s="95" t="s">
        <v>16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443</v>
      </c>
      <c r="C23" s="88"/>
      <c r="D23" s="89" t="s">
        <v>423</v>
      </c>
      <c r="E23" s="90"/>
    </row>
    <row r="24" spans="1:5" ht="15.6" customHeight="1" x14ac:dyDescent="0.25">
      <c r="A24" s="47" t="s">
        <v>15</v>
      </c>
      <c r="B24" s="95" t="s">
        <v>441</v>
      </c>
      <c r="C24" s="92" t="s">
        <v>6</v>
      </c>
      <c r="D24" s="93" t="s">
        <v>440</v>
      </c>
      <c r="E24" s="94" t="s">
        <v>6</v>
      </c>
    </row>
    <row r="25" spans="1:5" ht="15.6" customHeight="1" x14ac:dyDescent="0.25">
      <c r="A25" s="48">
        <f>A20+1</f>
        <v>46150</v>
      </c>
      <c r="B25" s="95" t="s">
        <v>442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24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362</v>
      </c>
      <c r="C28" s="88"/>
      <c r="D28" s="89" t="s">
        <v>176</v>
      </c>
      <c r="E28" s="94"/>
    </row>
    <row r="29" spans="1:5" ht="15.6" customHeight="1" x14ac:dyDescent="0.25">
      <c r="A29" s="47" t="s">
        <v>17</v>
      </c>
      <c r="B29" s="95" t="s">
        <v>415</v>
      </c>
      <c r="C29" s="92" t="s">
        <v>6</v>
      </c>
      <c r="D29" s="93" t="s">
        <v>438</v>
      </c>
      <c r="E29" s="94" t="s">
        <v>6</v>
      </c>
    </row>
    <row r="30" spans="1:5" ht="15.6" customHeight="1" x14ac:dyDescent="0.25">
      <c r="A30" s="48">
        <f>A25+1</f>
        <v>46151</v>
      </c>
      <c r="B30" s="95" t="s">
        <v>327</v>
      </c>
      <c r="C30" s="92"/>
      <c r="D30" s="93" t="s">
        <v>424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416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446</v>
      </c>
      <c r="C34" s="92" t="s">
        <v>6</v>
      </c>
      <c r="D34" s="93" t="s">
        <v>439</v>
      </c>
      <c r="E34" s="94" t="s">
        <v>6</v>
      </c>
    </row>
    <row r="35" spans="1:5" ht="15" customHeight="1" x14ac:dyDescent="0.25">
      <c r="A35" s="48">
        <f>A30+1</f>
        <v>46152</v>
      </c>
      <c r="B35" s="95"/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8A59-32D3-4389-B208-C8FA81ED2111}">
  <sheetPr codeName="Feuil21">
    <tabColor rgb="FF92D050"/>
  </sheetPr>
  <dimension ref="A1:E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46153</v>
      </c>
      <c r="D1" s="39" t="s">
        <v>1</v>
      </c>
      <c r="E1" s="40">
        <f>A35</f>
        <v>46159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87" t="s">
        <v>433</v>
      </c>
      <c r="C3" s="88"/>
      <c r="D3" s="89"/>
      <c r="E3" s="90"/>
    </row>
    <row r="4" spans="1:5" ht="15.6" customHeight="1" x14ac:dyDescent="0.25">
      <c r="A4" s="47" t="s">
        <v>5</v>
      </c>
      <c r="B4" s="91" t="s">
        <v>18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B5" s="91" t="s">
        <v>201</v>
      </c>
      <c r="C5" s="92"/>
      <c r="D5" s="93" t="s">
        <v>427</v>
      </c>
      <c r="E5" s="94"/>
    </row>
    <row r="6" spans="1:5" ht="15.6" customHeight="1" x14ac:dyDescent="0.25">
      <c r="A6" s="48">
        <f>'semaine 19'!A35+1</f>
        <v>46153</v>
      </c>
      <c r="B6" s="86" t="s">
        <v>434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435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2" t="s">
        <v>6</v>
      </c>
    </row>
    <row r="10" spans="1:5" ht="15.6" customHeight="1" x14ac:dyDescent="0.25">
      <c r="A10" s="48">
        <f>A6+1</f>
        <v>46154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444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46155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104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 t="s">
        <v>326</v>
      </c>
      <c r="C19" s="92" t="s">
        <v>6</v>
      </c>
      <c r="D19" s="93" t="s">
        <v>328</v>
      </c>
      <c r="E19" s="94" t="s">
        <v>6</v>
      </c>
    </row>
    <row r="20" spans="1:5" ht="15.6" customHeight="1" x14ac:dyDescent="0.25">
      <c r="A20" s="48">
        <f>A15+1</f>
        <v>46156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24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46157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46158</v>
      </c>
      <c r="B30" s="95" t="s">
        <v>330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332</v>
      </c>
      <c r="C34" s="92" t="s">
        <v>6</v>
      </c>
      <c r="D34" s="93" t="s">
        <v>318</v>
      </c>
      <c r="E34" s="94" t="s">
        <v>6</v>
      </c>
    </row>
    <row r="35" spans="1:5" ht="15" customHeight="1" x14ac:dyDescent="0.25">
      <c r="A35" s="48">
        <f>A30+1</f>
        <v>46159</v>
      </c>
      <c r="B35" s="95" t="s">
        <v>188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780E-C0C4-4923-ABD1-D92A7A87D252}">
  <sheetPr codeName="Feuil22">
    <tabColor rgb="FF92D050"/>
  </sheetPr>
  <dimension ref="A1:G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46160</v>
      </c>
      <c r="D1" s="39" t="s">
        <v>1</v>
      </c>
      <c r="E1" s="40">
        <f>A35</f>
        <v>46166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344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445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20'!A35+1</f>
        <v>46160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333</v>
      </c>
      <c r="C9" s="92" t="s">
        <v>6</v>
      </c>
      <c r="D9" s="105" t="s">
        <v>381</v>
      </c>
      <c r="E9" s="92" t="s">
        <v>6</v>
      </c>
    </row>
    <row r="10" spans="1:5" ht="15.6" customHeight="1" x14ac:dyDescent="0.25">
      <c r="A10" s="48">
        <f>A5+1</f>
        <v>46161</v>
      </c>
      <c r="B10" s="95" t="s">
        <v>346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141</v>
      </c>
      <c r="C13" s="88"/>
      <c r="D13" s="89" t="s">
        <v>230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46162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7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7" ht="15.6" customHeight="1" x14ac:dyDescent="0.25">
      <c r="A18" s="50"/>
      <c r="B18" s="97" t="s">
        <v>353</v>
      </c>
      <c r="C18" s="88"/>
      <c r="D18" s="89" t="s">
        <v>334</v>
      </c>
      <c r="E18" s="94"/>
    </row>
    <row r="19" spans="1:7" ht="15.6" customHeight="1" x14ac:dyDescent="0.25">
      <c r="A19" s="47" t="s">
        <v>10</v>
      </c>
      <c r="B19" s="95" t="s">
        <v>350</v>
      </c>
      <c r="C19" s="92" t="s">
        <v>6</v>
      </c>
      <c r="D19" s="93" t="s">
        <v>452</v>
      </c>
      <c r="E19" s="94" t="s">
        <v>6</v>
      </c>
    </row>
    <row r="20" spans="1:7" ht="15.6" customHeight="1" x14ac:dyDescent="0.25">
      <c r="A20" s="48">
        <f>A15+1</f>
        <v>46163</v>
      </c>
      <c r="B20" s="95" t="s">
        <v>208</v>
      </c>
      <c r="C20" s="92"/>
      <c r="D20" s="93"/>
      <c r="E20" s="94"/>
    </row>
    <row r="21" spans="1:7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7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7" ht="15.6" customHeight="1" x14ac:dyDescent="0.25">
      <c r="A23" s="50"/>
      <c r="B23" s="97" t="s">
        <v>436</v>
      </c>
      <c r="C23" s="88"/>
      <c r="D23" s="89" t="s">
        <v>33</v>
      </c>
      <c r="E23" s="90"/>
    </row>
    <row r="24" spans="1:7" ht="15.6" customHeight="1" thickBot="1" x14ac:dyDescent="0.3">
      <c r="A24" s="47" t="s">
        <v>15</v>
      </c>
      <c r="B24" s="95" t="s">
        <v>352</v>
      </c>
      <c r="C24" s="92" t="s">
        <v>6</v>
      </c>
      <c r="D24" s="93" t="s">
        <v>30</v>
      </c>
      <c r="E24" s="94" t="s">
        <v>6</v>
      </c>
    </row>
    <row r="25" spans="1:7" ht="15.6" customHeight="1" x14ac:dyDescent="0.25">
      <c r="A25" s="48">
        <f>A20+1</f>
        <v>46164</v>
      </c>
      <c r="B25" s="95"/>
      <c r="C25" s="92"/>
      <c r="D25" s="93"/>
      <c r="E25" s="94"/>
      <c r="G25" s="97"/>
    </row>
    <row r="26" spans="1:7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7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7" ht="15.6" customHeight="1" x14ac:dyDescent="0.25">
      <c r="A28" s="50"/>
      <c r="B28" s="97" t="s">
        <v>349</v>
      </c>
      <c r="C28" s="88"/>
      <c r="D28" s="89" t="s">
        <v>367</v>
      </c>
      <c r="E28" s="94"/>
    </row>
    <row r="29" spans="1:7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7" ht="15.6" customHeight="1" x14ac:dyDescent="0.25">
      <c r="A30" s="48">
        <f>A25+1</f>
        <v>46165</v>
      </c>
      <c r="B30" s="95" t="s">
        <v>77</v>
      </c>
      <c r="C30" s="92"/>
      <c r="D30" s="93" t="s">
        <v>329</v>
      </c>
      <c r="E30" s="94"/>
    </row>
    <row r="31" spans="1:7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7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47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376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46166</v>
      </c>
      <c r="B35" s="95" t="s">
        <v>448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9F4C-41E4-4517-A090-360578B7F611}">
  <sheetPr codeName="Feuil23">
    <tabColor rgb="FF92D050"/>
  </sheetPr>
  <dimension ref="A1:K37"/>
  <sheetViews>
    <sheetView workbookViewId="0">
      <selection activeCell="B18" sqref="B1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46167</v>
      </c>
      <c r="D1" s="39" t="s">
        <v>1</v>
      </c>
      <c r="E1" s="40">
        <f>A35</f>
        <v>46173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449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450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21'!A35+1</f>
        <v>46167</v>
      </c>
      <c r="B5" s="91" t="s">
        <v>451</v>
      </c>
      <c r="C5" s="92"/>
      <c r="D5" s="93"/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335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46168</v>
      </c>
      <c r="B10" s="95"/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371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46169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11" ht="15.6" customHeight="1" thickBot="1" x14ac:dyDescent="0.3">
      <c r="A17" s="47"/>
      <c r="B17" s="95" t="s">
        <v>221</v>
      </c>
      <c r="C17" s="92"/>
      <c r="D17" s="96" t="s">
        <v>221</v>
      </c>
      <c r="E17" s="98"/>
      <c r="K17" t="s">
        <v>45</v>
      </c>
    </row>
    <row r="18" spans="1:11" ht="15.6" customHeight="1" x14ac:dyDescent="0.25">
      <c r="A18" s="50"/>
      <c r="B18" s="97" t="s">
        <v>293</v>
      </c>
      <c r="C18" s="88"/>
      <c r="D18" s="89" t="s">
        <v>453</v>
      </c>
      <c r="E18" s="94"/>
    </row>
    <row r="19" spans="1:11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11" ht="15.6" customHeight="1" x14ac:dyDescent="0.25">
      <c r="A20" s="48">
        <f>A15+1</f>
        <v>46170</v>
      </c>
      <c r="B20" s="95" t="s">
        <v>77</v>
      </c>
      <c r="C20" s="92"/>
      <c r="D20" s="93" t="s">
        <v>388</v>
      </c>
      <c r="E20" s="94"/>
    </row>
    <row r="21" spans="1:11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11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11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11" ht="15.6" customHeight="1" x14ac:dyDescent="0.25">
      <c r="A24" s="47" t="s">
        <v>15</v>
      </c>
      <c r="B24" s="95" t="s">
        <v>149</v>
      </c>
      <c r="C24" s="92" t="s">
        <v>6</v>
      </c>
      <c r="D24" s="119" t="s">
        <v>455</v>
      </c>
      <c r="E24" s="94" t="s">
        <v>6</v>
      </c>
    </row>
    <row r="25" spans="1:11" ht="15.6" customHeight="1" x14ac:dyDescent="0.25">
      <c r="A25" s="48">
        <f>A20+1</f>
        <v>46171</v>
      </c>
      <c r="B25" s="93" t="s">
        <v>71</v>
      </c>
      <c r="C25" s="92"/>
      <c r="D25" s="119"/>
      <c r="E25" s="94"/>
    </row>
    <row r="26" spans="1:11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11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11" ht="15.6" customHeight="1" thickBot="1" x14ac:dyDescent="0.3">
      <c r="A28" s="50"/>
      <c r="B28" s="97" t="s">
        <v>375</v>
      </c>
      <c r="C28" s="88"/>
      <c r="D28" s="89" t="s">
        <v>395</v>
      </c>
      <c r="E28" s="94"/>
    </row>
    <row r="29" spans="1:11" ht="15.6" customHeight="1" x14ac:dyDescent="0.25">
      <c r="A29" s="47" t="s">
        <v>17</v>
      </c>
      <c r="B29" s="95" t="s">
        <v>27</v>
      </c>
      <c r="C29" s="92" t="s">
        <v>6</v>
      </c>
      <c r="D29" s="46" t="s">
        <v>456</v>
      </c>
      <c r="E29" s="94" t="s">
        <v>6</v>
      </c>
    </row>
    <row r="30" spans="1:11" ht="15.6" customHeight="1" x14ac:dyDescent="0.25">
      <c r="A30" s="48">
        <f>A25+1</f>
        <v>46172</v>
      </c>
      <c r="B30" s="95" t="s">
        <v>454</v>
      </c>
      <c r="C30" s="92"/>
      <c r="D30" s="93" t="s">
        <v>42</v>
      </c>
      <c r="E30" s="94"/>
    </row>
    <row r="31" spans="1:11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11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457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317</v>
      </c>
      <c r="E34" s="94" t="s">
        <v>6</v>
      </c>
    </row>
    <row r="35" spans="1:5" ht="15" customHeight="1" x14ac:dyDescent="0.25">
      <c r="A35" s="48">
        <f>A30+1</f>
        <v>46173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mergeCells count="1">
    <mergeCell ref="D24:D25"/>
  </mergeCells>
  <pageMargins left="0.25" right="0.25" top="0.75" bottom="0.75" header="0.3" footer="0.3"/>
  <pageSetup paperSize="9" scale="8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B7B9-6C05-4327-B583-483483A5A8E9}">
  <sheetPr codeName="Feuil24">
    <tabColor rgb="FF92D050"/>
  </sheetPr>
  <dimension ref="A1:F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6" ht="29.25" customHeight="1" x14ac:dyDescent="0.25">
      <c r="A1" s="43" t="s">
        <v>0</v>
      </c>
      <c r="B1" s="41"/>
      <c r="C1" s="38">
        <f>A5</f>
        <v>46174</v>
      </c>
      <c r="D1" s="39" t="s">
        <v>1</v>
      </c>
      <c r="E1" s="40">
        <f>A35</f>
        <v>46180</v>
      </c>
    </row>
    <row r="2" spans="1:6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6" ht="15.6" customHeight="1" x14ac:dyDescent="0.25">
      <c r="A3" s="46"/>
      <c r="B3" s="97" t="s">
        <v>360</v>
      </c>
      <c r="C3" s="88"/>
      <c r="D3" s="89" t="s">
        <v>397</v>
      </c>
      <c r="E3" s="90"/>
    </row>
    <row r="4" spans="1:6" ht="15.6" customHeight="1" x14ac:dyDescent="0.25">
      <c r="A4" s="47" t="s">
        <v>5</v>
      </c>
      <c r="B4" s="95" t="s">
        <v>393</v>
      </c>
      <c r="C4" s="92" t="s">
        <v>6</v>
      </c>
      <c r="D4" s="93" t="s">
        <v>385</v>
      </c>
      <c r="E4" s="94" t="s">
        <v>6</v>
      </c>
    </row>
    <row r="5" spans="1:6" ht="15.6" customHeight="1" x14ac:dyDescent="0.25">
      <c r="A5" s="48">
        <f>'semaine 22'!A35+1</f>
        <v>46174</v>
      </c>
      <c r="B5" s="91" t="s">
        <v>394</v>
      </c>
      <c r="C5" s="92"/>
      <c r="D5" s="93" t="s">
        <v>386</v>
      </c>
      <c r="E5" s="94"/>
    </row>
    <row r="6" spans="1:6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6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6" ht="15.6" customHeight="1" x14ac:dyDescent="0.25">
      <c r="A8" s="50"/>
      <c r="B8" s="88" t="s">
        <v>33</v>
      </c>
      <c r="C8" s="88"/>
      <c r="D8" s="106" t="s">
        <v>141</v>
      </c>
      <c r="E8" s="90"/>
      <c r="F8" s="106"/>
    </row>
    <row r="9" spans="1:6" ht="15.6" customHeight="1" x14ac:dyDescent="0.25">
      <c r="A9" s="47" t="s">
        <v>7</v>
      </c>
      <c r="B9" s="95" t="s">
        <v>459</v>
      </c>
      <c r="C9" s="92" t="s">
        <v>6</v>
      </c>
      <c r="D9" s="93" t="s">
        <v>381</v>
      </c>
      <c r="E9" s="92" t="s">
        <v>6</v>
      </c>
    </row>
    <row r="10" spans="1:6" ht="15.6" customHeight="1" x14ac:dyDescent="0.25">
      <c r="A10" s="48">
        <f>A5+1</f>
        <v>46175</v>
      </c>
      <c r="B10" s="95" t="s">
        <v>39</v>
      </c>
      <c r="C10" s="92"/>
      <c r="D10" s="93" t="s">
        <v>348</v>
      </c>
      <c r="E10" s="94"/>
    </row>
    <row r="11" spans="1:6" ht="15.6" customHeight="1" x14ac:dyDescent="0.25">
      <c r="A11" s="47"/>
      <c r="B11" s="86"/>
      <c r="C11" s="92"/>
      <c r="D11" s="93" t="s">
        <v>315</v>
      </c>
      <c r="E11" s="94"/>
    </row>
    <row r="12" spans="1:6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6" ht="15.6" customHeight="1" x14ac:dyDescent="0.25">
      <c r="A13" s="50"/>
      <c r="B13" s="100" t="s">
        <v>367</v>
      </c>
      <c r="C13" s="88"/>
      <c r="D13" s="106" t="s">
        <v>467</v>
      </c>
      <c r="E13" s="90"/>
    </row>
    <row r="14" spans="1:6" ht="15.6" customHeight="1" x14ac:dyDescent="0.25">
      <c r="A14" s="47" t="s">
        <v>9</v>
      </c>
      <c r="B14" s="95" t="s">
        <v>460</v>
      </c>
      <c r="C14" s="92" t="s">
        <v>6</v>
      </c>
      <c r="D14" s="93" t="s">
        <v>400</v>
      </c>
      <c r="E14" s="94" t="s">
        <v>6</v>
      </c>
    </row>
    <row r="15" spans="1:6" ht="15.6" customHeight="1" x14ac:dyDescent="0.25">
      <c r="A15" s="48">
        <f>A10+1</f>
        <v>46176</v>
      </c>
      <c r="B15" s="95" t="s">
        <v>372</v>
      </c>
      <c r="C15" s="92"/>
      <c r="D15" s="93" t="s">
        <v>37</v>
      </c>
      <c r="E15" s="94"/>
    </row>
    <row r="16" spans="1:6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6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6" ht="15.6" customHeight="1" x14ac:dyDescent="0.25">
      <c r="A18" s="50"/>
      <c r="B18" s="97" t="s">
        <v>362</v>
      </c>
      <c r="C18" s="88"/>
      <c r="D18" s="106" t="s">
        <v>468</v>
      </c>
      <c r="E18" s="94"/>
    </row>
    <row r="19" spans="1:6" ht="15.6" customHeight="1" x14ac:dyDescent="0.25">
      <c r="A19" s="47" t="s">
        <v>10</v>
      </c>
      <c r="B19" s="95" t="s">
        <v>376</v>
      </c>
      <c r="C19" s="92" t="s">
        <v>6</v>
      </c>
      <c r="D19" s="93" t="s">
        <v>452</v>
      </c>
      <c r="E19" s="94" t="s">
        <v>6</v>
      </c>
    </row>
    <row r="20" spans="1:6" ht="15.6" customHeight="1" x14ac:dyDescent="0.25">
      <c r="A20" s="48">
        <f>A15+1</f>
        <v>46177</v>
      </c>
      <c r="B20" s="95" t="s">
        <v>48</v>
      </c>
      <c r="C20" s="92"/>
      <c r="D20" s="93"/>
      <c r="E20" s="94"/>
      <c r="F20" s="95"/>
    </row>
    <row r="21" spans="1:6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6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6" ht="15.6" customHeight="1" x14ac:dyDescent="0.25">
      <c r="A23" s="50"/>
      <c r="B23" s="97" t="s">
        <v>462</v>
      </c>
      <c r="C23" s="88"/>
      <c r="D23" s="89" t="s">
        <v>344</v>
      </c>
      <c r="E23" s="90"/>
    </row>
    <row r="24" spans="1:6" ht="15.6" customHeight="1" x14ac:dyDescent="0.25">
      <c r="A24" s="47" t="s">
        <v>15</v>
      </c>
      <c r="B24" s="95" t="s">
        <v>463</v>
      </c>
      <c r="C24" s="92" t="s">
        <v>6</v>
      </c>
      <c r="D24" s="93" t="s">
        <v>465</v>
      </c>
      <c r="E24" s="94" t="s">
        <v>6</v>
      </c>
    </row>
    <row r="25" spans="1:6" ht="15.6" customHeight="1" x14ac:dyDescent="0.25">
      <c r="A25" s="48">
        <f>A20+1</f>
        <v>46178</v>
      </c>
      <c r="B25" s="95" t="s">
        <v>64</v>
      </c>
      <c r="C25" s="92"/>
      <c r="D25" s="93" t="s">
        <v>140</v>
      </c>
      <c r="E25" s="94"/>
    </row>
    <row r="26" spans="1:6" ht="15.6" customHeight="1" x14ac:dyDescent="0.25">
      <c r="A26" s="102" t="s">
        <v>426</v>
      </c>
      <c r="B26" s="86" t="s">
        <v>23</v>
      </c>
      <c r="C26" s="92"/>
      <c r="D26" s="93" t="s">
        <v>315</v>
      </c>
      <c r="E26" s="94"/>
    </row>
    <row r="27" spans="1:6" ht="15.6" customHeight="1" thickBot="1" x14ac:dyDescent="0.3">
      <c r="A27" s="47"/>
      <c r="B27" s="95" t="s">
        <v>464</v>
      </c>
      <c r="C27" s="92"/>
      <c r="D27" s="96" t="s">
        <v>221</v>
      </c>
      <c r="E27" s="98"/>
    </row>
    <row r="28" spans="1:6" ht="15.6" customHeight="1" x14ac:dyDescent="0.25">
      <c r="A28" s="50"/>
      <c r="B28" s="97" t="s">
        <v>395</v>
      </c>
      <c r="C28" s="88"/>
      <c r="D28" s="89" t="s">
        <v>33</v>
      </c>
      <c r="E28" s="94"/>
    </row>
    <row r="29" spans="1:6" ht="15.6" customHeight="1" x14ac:dyDescent="0.25">
      <c r="A29" s="47" t="s">
        <v>17</v>
      </c>
      <c r="B29" s="95" t="s">
        <v>309</v>
      </c>
      <c r="C29" s="92" t="s">
        <v>6</v>
      </c>
      <c r="D29" s="93" t="s">
        <v>461</v>
      </c>
      <c r="E29" s="94" t="s">
        <v>6</v>
      </c>
    </row>
    <row r="30" spans="1:6" ht="15.6" customHeight="1" x14ac:dyDescent="0.25">
      <c r="A30" s="48">
        <f>A25+1</f>
        <v>46179</v>
      </c>
      <c r="B30" s="95" t="s">
        <v>369</v>
      </c>
      <c r="C30" s="92"/>
      <c r="D30" s="93"/>
      <c r="E30" s="94"/>
    </row>
    <row r="31" spans="1:6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6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176</v>
      </c>
      <c r="C33" s="88"/>
      <c r="D33" s="93" t="s">
        <v>404</v>
      </c>
      <c r="E33" s="90"/>
    </row>
    <row r="34" spans="1:5" ht="15" customHeight="1" x14ac:dyDescent="0.25">
      <c r="A34" s="47" t="s">
        <v>21</v>
      </c>
      <c r="B34" s="95" t="s">
        <v>289</v>
      </c>
      <c r="C34" s="92" t="s">
        <v>6</v>
      </c>
      <c r="D34" s="93" t="s">
        <v>469</v>
      </c>
      <c r="E34" s="94" t="s">
        <v>6</v>
      </c>
    </row>
    <row r="35" spans="1:5" ht="15" customHeight="1" x14ac:dyDescent="0.25">
      <c r="A35" s="48">
        <f>A30+1</f>
        <v>46180</v>
      </c>
      <c r="B35" s="95" t="s">
        <v>466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60A7-303A-47F5-887F-52603DF07B1A}">
  <sheetPr codeName="Feuil25">
    <tabColor rgb="FF92D050"/>
  </sheetPr>
  <dimension ref="A1:E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46181</v>
      </c>
      <c r="D1" s="39" t="s">
        <v>1</v>
      </c>
      <c r="E1" s="40">
        <f>A35</f>
        <v>46187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406</v>
      </c>
      <c r="C3" s="88"/>
      <c r="D3" s="89" t="s">
        <v>142</v>
      </c>
      <c r="E3" s="90"/>
    </row>
    <row r="4" spans="1:5" ht="15.6" customHeight="1" x14ac:dyDescent="0.25">
      <c r="A4" s="47" t="s">
        <v>5</v>
      </c>
      <c r="B4" s="95" t="s">
        <v>407</v>
      </c>
      <c r="C4" s="92" t="s">
        <v>6</v>
      </c>
      <c r="D4" s="93" t="s">
        <v>417</v>
      </c>
      <c r="E4" s="94" t="s">
        <v>6</v>
      </c>
    </row>
    <row r="5" spans="1:5" ht="15.6" customHeight="1" x14ac:dyDescent="0.25">
      <c r="A5" s="48">
        <f>'semaine 23'!A35+1</f>
        <v>46181</v>
      </c>
      <c r="B5" s="91" t="s">
        <v>327</v>
      </c>
      <c r="C5" s="92"/>
      <c r="D5" s="93" t="s">
        <v>300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311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339</v>
      </c>
      <c r="C9" s="92" t="s">
        <v>6</v>
      </c>
      <c r="D9" s="93" t="s">
        <v>419</v>
      </c>
      <c r="E9" s="92" t="s">
        <v>6</v>
      </c>
    </row>
    <row r="10" spans="1:5" ht="15.6" customHeight="1" x14ac:dyDescent="0.25">
      <c r="A10" s="48">
        <f>A5+1</f>
        <v>46182</v>
      </c>
      <c r="B10" s="95" t="s">
        <v>340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33</v>
      </c>
      <c r="C13" s="88"/>
      <c r="D13" s="89" t="s">
        <v>420</v>
      </c>
      <c r="E13" s="90"/>
    </row>
    <row r="14" spans="1:5" ht="15.6" customHeight="1" x14ac:dyDescent="0.25">
      <c r="A14" s="47" t="s">
        <v>9</v>
      </c>
      <c r="B14" s="95" t="s">
        <v>473</v>
      </c>
      <c r="C14" s="92" t="s">
        <v>6</v>
      </c>
      <c r="D14" s="93" t="s">
        <v>421</v>
      </c>
      <c r="E14" s="94" t="s">
        <v>6</v>
      </c>
    </row>
    <row r="15" spans="1:5" ht="15.6" customHeight="1" x14ac:dyDescent="0.25">
      <c r="A15" s="48">
        <f>A10+1</f>
        <v>46183</v>
      </c>
      <c r="B15" s="95" t="s">
        <v>474</v>
      </c>
      <c r="C15" s="92"/>
      <c r="D15" s="93" t="s">
        <v>82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437</v>
      </c>
      <c r="E18" s="94"/>
    </row>
    <row r="19" spans="1:5" ht="15.6" customHeight="1" x14ac:dyDescent="0.25">
      <c r="A19" s="47" t="s">
        <v>10</v>
      </c>
      <c r="B19" s="95" t="s">
        <v>413</v>
      </c>
      <c r="C19" s="92" t="s">
        <v>6</v>
      </c>
      <c r="D19" s="93" t="s">
        <v>422</v>
      </c>
      <c r="E19" s="94" t="s">
        <v>6</v>
      </c>
    </row>
    <row r="20" spans="1:5" ht="15.6" customHeight="1" x14ac:dyDescent="0.25">
      <c r="A20" s="48">
        <f>A15+1</f>
        <v>46184</v>
      </c>
      <c r="B20" s="95" t="s">
        <v>16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117</v>
      </c>
      <c r="C23" s="88"/>
      <c r="D23" s="89" t="s">
        <v>423</v>
      </c>
      <c r="E23" s="90"/>
    </row>
    <row r="24" spans="1:5" ht="15.6" customHeight="1" x14ac:dyDescent="0.25">
      <c r="A24" s="47" t="s">
        <v>15</v>
      </c>
      <c r="B24" s="95" t="s">
        <v>414</v>
      </c>
      <c r="C24" s="92" t="s">
        <v>6</v>
      </c>
      <c r="D24" s="93" t="s">
        <v>471</v>
      </c>
      <c r="E24" s="94" t="s">
        <v>6</v>
      </c>
    </row>
    <row r="25" spans="1:5" ht="15.6" customHeight="1" x14ac:dyDescent="0.25">
      <c r="A25" s="48">
        <f>A20+1</f>
        <v>46185</v>
      </c>
      <c r="B25" s="95" t="s">
        <v>365</v>
      </c>
      <c r="C25" s="92"/>
      <c r="D25" s="93"/>
      <c r="E25" s="94"/>
    </row>
    <row r="26" spans="1:5" ht="15.6" customHeight="1" x14ac:dyDescent="0.25">
      <c r="A26" s="102" t="s">
        <v>426</v>
      </c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362</v>
      </c>
      <c r="C28" s="88"/>
      <c r="D28" s="89" t="s">
        <v>176</v>
      </c>
      <c r="E28" s="94"/>
    </row>
    <row r="29" spans="1:5" ht="15.6" customHeight="1" x14ac:dyDescent="0.25">
      <c r="A29" s="47" t="s">
        <v>17</v>
      </c>
      <c r="B29" s="95" t="s">
        <v>415</v>
      </c>
      <c r="C29" s="92" t="s">
        <v>6</v>
      </c>
      <c r="D29" s="93" t="s">
        <v>359</v>
      </c>
      <c r="E29" s="94" t="s">
        <v>6</v>
      </c>
    </row>
    <row r="30" spans="1:5" ht="15.6" customHeight="1" x14ac:dyDescent="0.25">
      <c r="A30" s="48">
        <f>A25+1</f>
        <v>46186</v>
      </c>
      <c r="B30" s="95" t="s">
        <v>327</v>
      </c>
      <c r="C30" s="92"/>
      <c r="D30" s="93" t="s">
        <v>424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416</v>
      </c>
      <c r="C33" s="88"/>
      <c r="D33" s="91" t="s">
        <v>33</v>
      </c>
      <c r="E33" s="101"/>
    </row>
    <row r="34" spans="1:5" ht="15" customHeight="1" x14ac:dyDescent="0.25">
      <c r="A34" s="47" t="s">
        <v>21</v>
      </c>
      <c r="B34" s="95" t="s">
        <v>342</v>
      </c>
      <c r="C34" s="92" t="s">
        <v>6</v>
      </c>
      <c r="D34" s="93" t="s">
        <v>470</v>
      </c>
      <c r="E34" s="94" t="s">
        <v>6</v>
      </c>
    </row>
    <row r="35" spans="1:5" ht="15" customHeight="1" x14ac:dyDescent="0.25">
      <c r="A35" s="48">
        <f>A30+1</f>
        <v>46187</v>
      </c>
      <c r="B35" s="95"/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D0BE-995C-488F-9A2B-8BD6761F424E}">
  <sheetPr codeName="Feuil26">
    <tabColor theme="7" tint="0.59999389629810485"/>
  </sheetPr>
  <dimension ref="A1:E38"/>
  <sheetViews>
    <sheetView view="pageLayout" topLeftCell="A11" zoomScaleNormal="100" workbookViewId="0">
      <selection sqref="A1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1.75" customHeight="1" x14ac:dyDescent="0.25">
      <c r="A1" s="43" t="s">
        <v>0</v>
      </c>
      <c r="B1" s="41"/>
      <c r="C1" s="38">
        <f>A5</f>
        <v>46188</v>
      </c>
      <c r="D1" s="39" t="s">
        <v>1</v>
      </c>
      <c r="E1" s="40">
        <f>A35</f>
        <v>46194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87" t="s">
        <v>433</v>
      </c>
      <c r="C3" s="88"/>
      <c r="D3" s="89"/>
      <c r="E3" s="90"/>
    </row>
    <row r="4" spans="1:5" ht="15.6" customHeight="1" x14ac:dyDescent="0.25">
      <c r="A4" s="47" t="s">
        <v>5</v>
      </c>
      <c r="B4" s="91" t="s">
        <v>18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A5" s="48">
        <f>'semaine 24'!A35+1</f>
        <v>46188</v>
      </c>
      <c r="B5" s="91" t="s">
        <v>201</v>
      </c>
      <c r="C5" s="92"/>
      <c r="D5" s="93" t="s">
        <v>427</v>
      </c>
      <c r="E5" s="94"/>
    </row>
    <row r="6" spans="1:5" ht="15.6" customHeight="1" x14ac:dyDescent="0.25">
      <c r="A6" s="48"/>
      <c r="B6" s="86" t="s">
        <v>434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435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2" t="s">
        <v>6</v>
      </c>
    </row>
    <row r="10" spans="1:5" ht="15.6" customHeight="1" x14ac:dyDescent="0.25">
      <c r="A10" s="48">
        <f>A5+1</f>
        <v>46189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444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46190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/>
      <c r="C19" s="92" t="s">
        <v>6</v>
      </c>
      <c r="D19" s="93" t="s">
        <v>472</v>
      </c>
      <c r="E19" s="94" t="s">
        <v>6</v>
      </c>
    </row>
    <row r="20" spans="1:5" ht="15.6" customHeight="1" x14ac:dyDescent="0.25">
      <c r="A20" s="48">
        <f>A15+1</f>
        <v>46191</v>
      </c>
      <c r="B20" s="95" t="s">
        <v>477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24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46192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46193</v>
      </c>
      <c r="B30" s="95" t="s">
        <v>50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476</v>
      </c>
      <c r="C34" s="92" t="s">
        <v>6</v>
      </c>
      <c r="D34" s="93" t="s">
        <v>475</v>
      </c>
      <c r="E34" s="94" t="s">
        <v>6</v>
      </c>
    </row>
    <row r="35" spans="1:5" ht="15" customHeight="1" x14ac:dyDescent="0.25">
      <c r="A35" s="48">
        <f>A30+1</f>
        <v>46194</v>
      </c>
      <c r="B35" s="95" t="s">
        <v>224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32A-BA1F-4AE5-A518-20B34B13FAA9}">
  <sheetPr codeName="Feuil27">
    <tabColor theme="7" tint="0.59999389629810485"/>
  </sheetPr>
  <dimension ref="A1:E38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46195</v>
      </c>
      <c r="D1" s="39" t="s">
        <v>1</v>
      </c>
      <c r="E1" s="40">
        <f>A35</f>
        <v>46201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314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479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25'!A35+1</f>
        <v>46195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459</v>
      </c>
      <c r="C9" s="92" t="s">
        <v>6</v>
      </c>
      <c r="D9" s="105" t="s">
        <v>381</v>
      </c>
      <c r="E9" s="92" t="s">
        <v>6</v>
      </c>
    </row>
    <row r="10" spans="1:5" ht="15.6" customHeight="1" x14ac:dyDescent="0.25">
      <c r="A10" s="48">
        <f>A5+1</f>
        <v>46196</v>
      </c>
      <c r="B10" s="95" t="s">
        <v>57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141</v>
      </c>
      <c r="C13" s="88"/>
      <c r="D13" s="89" t="s">
        <v>230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46197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353</v>
      </c>
      <c r="C18" s="88"/>
      <c r="D18" s="89" t="s">
        <v>334</v>
      </c>
      <c r="E18" s="94"/>
    </row>
    <row r="19" spans="1:5" ht="15.6" customHeight="1" x14ac:dyDescent="0.25">
      <c r="A19" s="47" t="s">
        <v>10</v>
      </c>
      <c r="B19" s="95" t="s">
        <v>350</v>
      </c>
      <c r="C19" s="92" t="s">
        <v>6</v>
      </c>
      <c r="D19" s="93" t="s">
        <v>452</v>
      </c>
      <c r="E19" s="94" t="s">
        <v>6</v>
      </c>
    </row>
    <row r="20" spans="1:5" ht="15.6" customHeight="1" x14ac:dyDescent="0.25">
      <c r="A20" s="48">
        <f>A15+1</f>
        <v>46198</v>
      </c>
      <c r="B20" s="95" t="s">
        <v>208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148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352</v>
      </c>
      <c r="C24" s="92" t="s">
        <v>6</v>
      </c>
      <c r="D24" s="93" t="s">
        <v>480</v>
      </c>
      <c r="E24" s="94" t="s">
        <v>6</v>
      </c>
    </row>
    <row r="25" spans="1:5" ht="15.6" customHeight="1" x14ac:dyDescent="0.25">
      <c r="A25" s="48">
        <f>A20+1</f>
        <v>46199</v>
      </c>
      <c r="B25" s="95"/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349</v>
      </c>
      <c r="C28" s="88"/>
      <c r="D28" s="89" t="s">
        <v>367</v>
      </c>
      <c r="E28" s="94"/>
    </row>
    <row r="29" spans="1:5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5" ht="15.6" customHeight="1" x14ac:dyDescent="0.25">
      <c r="A30" s="48">
        <f>A25+1</f>
        <v>46200</v>
      </c>
      <c r="B30" s="95" t="s">
        <v>77</v>
      </c>
      <c r="C30" s="92"/>
      <c r="D30" s="93" t="s">
        <v>329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47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376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46201</v>
      </c>
      <c r="B35" s="95" t="s">
        <v>448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7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8D4E-7B0E-407D-9480-59153FFFAA4F}">
  <sheetPr codeName="Feuil28">
    <tabColor theme="7" tint="0.59999389629810485"/>
    <pageSetUpPr fitToPage="1"/>
  </sheetPr>
  <dimension ref="A1:E38"/>
  <sheetViews>
    <sheetView zoomScaleNormal="100" zoomScalePageLayoutView="70" workbookViewId="0">
      <selection activeCell="B35" sqref="B3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46202</v>
      </c>
      <c r="D1" s="39" t="s">
        <v>1</v>
      </c>
      <c r="E1" s="40">
        <f>A35</f>
        <v>46208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347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26'!A35+1</f>
        <v>46202</v>
      </c>
      <c r="B5" s="91" t="s">
        <v>369</v>
      </c>
      <c r="C5" s="92"/>
      <c r="D5" s="93" t="s">
        <v>382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478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46203</v>
      </c>
      <c r="B10" s="95" t="s">
        <v>8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460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46204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337</v>
      </c>
      <c r="E18" s="94"/>
    </row>
    <row r="19" spans="1:5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5" ht="15.6" customHeight="1" x14ac:dyDescent="0.25">
      <c r="A20" s="48">
        <f>A15+1</f>
        <v>46205</v>
      </c>
      <c r="B20" s="95" t="s">
        <v>77</v>
      </c>
      <c r="C20" s="92"/>
      <c r="D20" s="93" t="s">
        <v>388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5" ht="15.6" customHeight="1" x14ac:dyDescent="0.25">
      <c r="A24" s="47" t="s">
        <v>15</v>
      </c>
      <c r="B24" s="95" t="s">
        <v>373</v>
      </c>
      <c r="C24" s="92" t="s">
        <v>6</v>
      </c>
      <c r="D24" s="93" t="s">
        <v>390</v>
      </c>
      <c r="E24" s="94" t="s">
        <v>6</v>
      </c>
    </row>
    <row r="25" spans="1:5" ht="15.6" customHeight="1" x14ac:dyDescent="0.25">
      <c r="A25" s="48">
        <f>A20+1</f>
        <v>46206</v>
      </c>
      <c r="B25" s="95" t="s">
        <v>374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375</v>
      </c>
      <c r="C28" s="88"/>
      <c r="D28" s="89" t="s">
        <v>355</v>
      </c>
      <c r="E28" s="94"/>
    </row>
    <row r="29" spans="1:5" ht="15.6" customHeight="1" x14ac:dyDescent="0.25">
      <c r="A29" s="47" t="s">
        <v>17</v>
      </c>
      <c r="B29" s="95" t="s">
        <v>376</v>
      </c>
      <c r="C29" s="92" t="s">
        <v>6</v>
      </c>
      <c r="D29" s="93" t="s">
        <v>391</v>
      </c>
      <c r="E29" s="94" t="s">
        <v>6</v>
      </c>
    </row>
    <row r="30" spans="1:5" ht="15.6" customHeight="1" x14ac:dyDescent="0.25">
      <c r="A30" s="48">
        <f>A25+1</f>
        <v>46207</v>
      </c>
      <c r="B30" s="95" t="s">
        <v>377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392</v>
      </c>
      <c r="E33" s="90"/>
    </row>
    <row r="34" spans="1:5" ht="15" customHeight="1" x14ac:dyDescent="0.25">
      <c r="A34" s="47" t="s">
        <v>21</v>
      </c>
      <c r="B34" s="95" t="s">
        <v>378</v>
      </c>
      <c r="C34" s="92" t="s">
        <v>6</v>
      </c>
      <c r="D34" s="93" t="s">
        <v>430</v>
      </c>
      <c r="E34" s="94" t="s">
        <v>6</v>
      </c>
    </row>
    <row r="35" spans="1:5" ht="15" customHeight="1" x14ac:dyDescent="0.25">
      <c r="A35" s="48">
        <f>A30+1</f>
        <v>46208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A161-B542-4713-ADF3-ADADD912E96A}">
  <sheetPr codeName="Feuil29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46209</v>
      </c>
      <c r="D1" s="39" t="s">
        <v>1</v>
      </c>
      <c r="E1" s="40">
        <f>A35</f>
        <v>46215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483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27'!A35+1</f>
        <v>46209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487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489</v>
      </c>
      <c r="E9" s="94" t="s">
        <v>6</v>
      </c>
    </row>
    <row r="10" spans="1:5" ht="15.6" customHeight="1" x14ac:dyDescent="0.25">
      <c r="A10" s="48">
        <f>A5+1</f>
        <v>46210</v>
      </c>
      <c r="B10" s="95" t="s">
        <v>127</v>
      </c>
      <c r="C10" s="92"/>
      <c r="D10" s="93" t="s">
        <v>22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490</v>
      </c>
      <c r="E14" s="94" t="s">
        <v>6</v>
      </c>
    </row>
    <row r="15" spans="1:5" ht="15.6" customHeight="1" x14ac:dyDescent="0.25">
      <c r="A15" s="48">
        <f>A10+1</f>
        <v>46211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492</v>
      </c>
      <c r="C18" s="88"/>
      <c r="D18" s="89" t="s">
        <v>43</v>
      </c>
      <c r="E18" s="94"/>
    </row>
    <row r="19" spans="1:5" ht="15.6" customHeight="1" x14ac:dyDescent="0.25">
      <c r="A19" s="47" t="s">
        <v>10</v>
      </c>
      <c r="B19" s="95" t="s">
        <v>73</v>
      </c>
      <c r="C19" s="92" t="s">
        <v>6</v>
      </c>
      <c r="D19" s="93" t="s">
        <v>317</v>
      </c>
      <c r="E19" s="94" t="s">
        <v>6</v>
      </c>
    </row>
    <row r="20" spans="1:5" ht="15.6" customHeight="1" x14ac:dyDescent="0.25">
      <c r="A20" s="48">
        <f>A15+1</f>
        <v>46212</v>
      </c>
      <c r="B20" s="95" t="s">
        <v>493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141</v>
      </c>
      <c r="C23" s="88"/>
      <c r="D23" s="89" t="s">
        <v>482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46213</v>
      </c>
      <c r="B25" s="95" t="s">
        <v>494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46214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499</v>
      </c>
      <c r="E34" s="94" t="s">
        <v>6</v>
      </c>
    </row>
    <row r="35" spans="1:5" ht="15" customHeight="1" x14ac:dyDescent="0.25">
      <c r="A35" s="48">
        <f>A30+1</f>
        <v>46215</v>
      </c>
      <c r="B35" s="95" t="s">
        <v>500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4958-5FA0-4D43-9B14-C329D53C108B}">
  <sheetPr codeName="Feuil30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46216</v>
      </c>
      <c r="D1" s="39" t="s">
        <v>1</v>
      </c>
      <c r="E1" s="40">
        <f>A35</f>
        <v>46222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72</v>
      </c>
      <c r="C3" s="88"/>
      <c r="D3" s="89" t="s">
        <v>501</v>
      </c>
      <c r="E3" s="90"/>
    </row>
    <row r="4" spans="1:5" ht="15.6" customHeight="1" x14ac:dyDescent="0.25">
      <c r="A4" s="47" t="s">
        <v>5</v>
      </c>
      <c r="B4" s="95" t="s">
        <v>236</v>
      </c>
      <c r="C4" s="92" t="s">
        <v>6</v>
      </c>
      <c r="D4" s="93" t="s">
        <v>502</v>
      </c>
      <c r="E4" s="94" t="s">
        <v>6</v>
      </c>
    </row>
    <row r="5" spans="1:5" ht="15.6" customHeight="1" x14ac:dyDescent="0.25">
      <c r="A5" s="48">
        <f>'semaine 28'!A35+1</f>
        <v>46216</v>
      </c>
      <c r="B5" s="91" t="s">
        <v>28</v>
      </c>
      <c r="C5" s="92"/>
      <c r="D5" s="91" t="s">
        <v>36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/>
      <c r="E8" s="90"/>
    </row>
    <row r="9" spans="1:5" ht="15.6" customHeight="1" x14ac:dyDescent="0.25">
      <c r="A9" s="47" t="s">
        <v>7</v>
      </c>
      <c r="B9" s="95" t="s">
        <v>520</v>
      </c>
      <c r="C9" s="92" t="s">
        <v>6</v>
      </c>
      <c r="D9" s="93" t="s">
        <v>536</v>
      </c>
      <c r="E9" s="94" t="s">
        <v>6</v>
      </c>
    </row>
    <row r="10" spans="1:5" ht="15.6" customHeight="1" x14ac:dyDescent="0.25">
      <c r="A10" s="48">
        <f>A5+1</f>
        <v>46217</v>
      </c>
      <c r="B10" s="95" t="s">
        <v>521</v>
      </c>
      <c r="C10" s="92"/>
      <c r="D10" s="93" t="s">
        <v>535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497</v>
      </c>
      <c r="E12" s="94"/>
    </row>
    <row r="13" spans="1:5" ht="15.6" customHeight="1" x14ac:dyDescent="0.25">
      <c r="A13" s="50"/>
      <c r="B13" s="100" t="s">
        <v>519</v>
      </c>
      <c r="C13" s="88"/>
      <c r="D13" s="89" t="s">
        <v>503</v>
      </c>
      <c r="E13" s="90"/>
    </row>
    <row r="14" spans="1:5" ht="15.6" customHeight="1" x14ac:dyDescent="0.25">
      <c r="A14" s="47" t="s">
        <v>9</v>
      </c>
      <c r="B14" s="95" t="s">
        <v>29</v>
      </c>
      <c r="C14" s="92" t="s">
        <v>6</v>
      </c>
      <c r="D14" s="93" t="s">
        <v>504</v>
      </c>
      <c r="E14" s="94" t="s">
        <v>6</v>
      </c>
    </row>
    <row r="15" spans="1:5" ht="15.6" customHeight="1" x14ac:dyDescent="0.25">
      <c r="A15" s="48">
        <f>A10+1</f>
        <v>46218</v>
      </c>
      <c r="B15" s="95" t="s">
        <v>466</v>
      </c>
      <c r="C15" s="92"/>
      <c r="D15" s="93"/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505</v>
      </c>
      <c r="C18" s="88"/>
      <c r="D18" s="89" t="s">
        <v>506</v>
      </c>
      <c r="E18" s="94"/>
    </row>
    <row r="19" spans="1:5" ht="15.6" customHeight="1" x14ac:dyDescent="0.25">
      <c r="A19" s="47" t="s">
        <v>10</v>
      </c>
      <c r="B19" s="95" t="s">
        <v>38</v>
      </c>
      <c r="C19" s="92" t="s">
        <v>6</v>
      </c>
      <c r="D19" s="93" t="s">
        <v>507</v>
      </c>
      <c r="E19" s="94" t="s">
        <v>6</v>
      </c>
    </row>
    <row r="20" spans="1:5" ht="15.6" customHeight="1" x14ac:dyDescent="0.25">
      <c r="A20" s="48">
        <f>A15+1</f>
        <v>46219</v>
      </c>
      <c r="B20" s="95" t="s">
        <v>508</v>
      </c>
      <c r="C20" s="92"/>
      <c r="D20" s="93" t="s">
        <v>19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509</v>
      </c>
      <c r="C23" s="88"/>
      <c r="D23" s="89" t="s">
        <v>510</v>
      </c>
      <c r="E23" s="90"/>
    </row>
    <row r="24" spans="1:5" ht="15.6" customHeight="1" x14ac:dyDescent="0.25">
      <c r="A24" s="47" t="s">
        <v>15</v>
      </c>
      <c r="B24" s="95" t="s">
        <v>149</v>
      </c>
      <c r="C24" s="92" t="s">
        <v>6</v>
      </c>
      <c r="D24" s="93" t="s">
        <v>511</v>
      </c>
      <c r="E24" s="94" t="s">
        <v>6</v>
      </c>
    </row>
    <row r="25" spans="1:5" ht="15.6" customHeight="1" x14ac:dyDescent="0.25">
      <c r="A25" s="48">
        <f>A20+1</f>
        <v>46220</v>
      </c>
      <c r="B25" s="93" t="s">
        <v>518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72</v>
      </c>
      <c r="E28" s="94"/>
    </row>
    <row r="29" spans="1:5" ht="15.6" customHeight="1" x14ac:dyDescent="0.25">
      <c r="A29" s="47" t="s">
        <v>17</v>
      </c>
      <c r="B29" s="95" t="s">
        <v>512</v>
      </c>
      <c r="C29" s="92" t="s">
        <v>6</v>
      </c>
      <c r="D29" s="108" t="s">
        <v>513</v>
      </c>
      <c r="E29" s="94" t="s">
        <v>6</v>
      </c>
    </row>
    <row r="30" spans="1:5" ht="15.6" customHeight="1" x14ac:dyDescent="0.25">
      <c r="A30" s="48">
        <f>A25+1</f>
        <v>46221</v>
      </c>
      <c r="B30" s="95" t="s">
        <v>22</v>
      </c>
      <c r="C30" s="92"/>
      <c r="D30" s="93" t="s">
        <v>448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514</v>
      </c>
      <c r="C33" s="88"/>
      <c r="D33" s="93" t="s">
        <v>41</v>
      </c>
      <c r="E33" s="90"/>
    </row>
    <row r="34" spans="1:5" ht="15" customHeight="1" x14ac:dyDescent="0.25">
      <c r="A34" s="47" t="s">
        <v>21</v>
      </c>
      <c r="B34" s="95" t="s">
        <v>517</v>
      </c>
      <c r="C34" s="92" t="s">
        <v>6</v>
      </c>
      <c r="D34" s="108" t="s">
        <v>117</v>
      </c>
      <c r="E34" s="94" t="s">
        <v>6</v>
      </c>
    </row>
    <row r="35" spans="1:5" ht="15" customHeight="1" x14ac:dyDescent="0.25">
      <c r="A35" s="48">
        <f>A30+1</f>
        <v>46222</v>
      </c>
      <c r="B35" s="95" t="s">
        <v>16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3CC7-4AE3-4946-A625-1C6819C8A256}">
  <sheetPr codeName="Feuil31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46223</v>
      </c>
      <c r="D1" s="39" t="s">
        <v>1</v>
      </c>
      <c r="E1" s="40">
        <f>A35</f>
        <v>46229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522</v>
      </c>
      <c r="C3" s="88"/>
      <c r="D3" s="89" t="s">
        <v>523</v>
      </c>
      <c r="E3" s="90"/>
    </row>
    <row r="4" spans="1:5" ht="15.6" customHeight="1" x14ac:dyDescent="0.25">
      <c r="A4" s="47" t="s">
        <v>5</v>
      </c>
      <c r="B4" s="95" t="s">
        <v>62</v>
      </c>
      <c r="C4" s="92" t="s">
        <v>6</v>
      </c>
      <c r="D4" s="93" t="s">
        <v>313</v>
      </c>
      <c r="E4" s="94" t="s">
        <v>6</v>
      </c>
    </row>
    <row r="5" spans="1:5" ht="15.6" customHeight="1" x14ac:dyDescent="0.25">
      <c r="A5" s="48">
        <f>'semaine 29'!A35+1</f>
        <v>46223</v>
      </c>
      <c r="B5" s="91" t="s">
        <v>11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515</v>
      </c>
      <c r="C8" s="88"/>
      <c r="D8" s="89" t="s">
        <v>524</v>
      </c>
      <c r="E8" s="90"/>
    </row>
    <row r="9" spans="1:5" ht="15.6" customHeight="1" x14ac:dyDescent="0.25">
      <c r="A9" s="47" t="s">
        <v>7</v>
      </c>
      <c r="B9" s="95" t="s">
        <v>58</v>
      </c>
      <c r="C9" s="92" t="s">
        <v>6</v>
      </c>
      <c r="D9" s="93" t="s">
        <v>525</v>
      </c>
      <c r="E9" s="94" t="s">
        <v>6</v>
      </c>
    </row>
    <row r="10" spans="1:5" ht="15.6" customHeight="1" x14ac:dyDescent="0.25">
      <c r="A10" s="48">
        <f>A5+1</f>
        <v>46224</v>
      </c>
      <c r="B10" s="95" t="s">
        <v>127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117</v>
      </c>
      <c r="C13" s="88"/>
      <c r="D13" s="89" t="s">
        <v>526</v>
      </c>
      <c r="E13" s="90"/>
    </row>
    <row r="14" spans="1:5" ht="15.6" customHeight="1" x14ac:dyDescent="0.25">
      <c r="A14" s="47" t="s">
        <v>9</v>
      </c>
      <c r="B14" s="95" t="s">
        <v>527</v>
      </c>
      <c r="C14" s="92" t="s">
        <v>6</v>
      </c>
      <c r="D14" s="93" t="s">
        <v>145</v>
      </c>
      <c r="E14" s="94" t="s">
        <v>6</v>
      </c>
    </row>
    <row r="15" spans="1:5" ht="15.6" customHeight="1" x14ac:dyDescent="0.25">
      <c r="A15" s="48">
        <f>A10+1</f>
        <v>46225</v>
      </c>
      <c r="B15" s="95" t="s">
        <v>528</v>
      </c>
      <c r="C15" s="92"/>
      <c r="D15" s="93" t="s">
        <v>16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112</v>
      </c>
      <c r="C18" s="88"/>
      <c r="D18" s="89" t="s">
        <v>31</v>
      </c>
      <c r="E18" s="94"/>
    </row>
    <row r="19" spans="1:5" ht="15.6" customHeight="1" x14ac:dyDescent="0.25">
      <c r="A19" s="47" t="s">
        <v>10</v>
      </c>
      <c r="B19" s="95" t="s">
        <v>331</v>
      </c>
      <c r="C19" s="92" t="s">
        <v>6</v>
      </c>
      <c r="D19" s="93" t="s">
        <v>27</v>
      </c>
      <c r="E19" s="94" t="s">
        <v>6</v>
      </c>
    </row>
    <row r="20" spans="1:5" ht="15.6" customHeight="1" x14ac:dyDescent="0.25">
      <c r="A20" s="48">
        <f>A15+1</f>
        <v>46226</v>
      </c>
      <c r="B20" s="95"/>
      <c r="C20" s="92"/>
      <c r="D20" s="93" t="s">
        <v>19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529</v>
      </c>
      <c r="C23" s="88"/>
      <c r="D23" s="89" t="s">
        <v>4</v>
      </c>
      <c r="E23" s="90"/>
    </row>
    <row r="24" spans="1:5" ht="15.6" customHeight="1" x14ac:dyDescent="0.25">
      <c r="A24" s="47" t="s">
        <v>15</v>
      </c>
      <c r="B24" s="95" t="s">
        <v>149</v>
      </c>
      <c r="C24" s="92" t="s">
        <v>6</v>
      </c>
      <c r="D24" s="93" t="s">
        <v>60</v>
      </c>
      <c r="E24" s="94" t="s">
        <v>6</v>
      </c>
    </row>
    <row r="25" spans="1:5" ht="15.6" customHeight="1" x14ac:dyDescent="0.25">
      <c r="A25" s="48">
        <f>A20+1</f>
        <v>46227</v>
      </c>
      <c r="B25" s="95" t="s">
        <v>530</v>
      </c>
      <c r="C25" s="92"/>
      <c r="D25" s="93" t="s">
        <v>531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467</v>
      </c>
      <c r="C28" s="88"/>
      <c r="D28" s="89" t="s">
        <v>34</v>
      </c>
      <c r="E28" s="94"/>
    </row>
    <row r="29" spans="1:5" ht="15.6" customHeight="1" x14ac:dyDescent="0.25">
      <c r="A29" s="47" t="s">
        <v>17</v>
      </c>
      <c r="B29" s="95" t="s">
        <v>68</v>
      </c>
      <c r="C29" s="92" t="s">
        <v>6</v>
      </c>
      <c r="D29" s="93" t="s">
        <v>49</v>
      </c>
      <c r="E29" s="94" t="s">
        <v>6</v>
      </c>
    </row>
    <row r="30" spans="1:5" ht="15.6" customHeight="1" x14ac:dyDescent="0.25">
      <c r="A30" s="48">
        <f>A25+1</f>
        <v>46228</v>
      </c>
      <c r="B30" s="95" t="s">
        <v>532</v>
      </c>
      <c r="C30" s="92"/>
      <c r="D30" s="93" t="s">
        <v>59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449</v>
      </c>
      <c r="C33" s="88"/>
      <c r="D33" s="89" t="s">
        <v>533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534</v>
      </c>
      <c r="E34" s="94" t="s">
        <v>6</v>
      </c>
    </row>
    <row r="35" spans="1:5" ht="15" customHeight="1" x14ac:dyDescent="0.25">
      <c r="A35" s="48">
        <f>A30+1</f>
        <v>46229</v>
      </c>
      <c r="B35" s="95" t="s">
        <v>53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9716-2353-4C49-8B4A-EDF496225A3F}">
  <sheetPr codeName="Feuil32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46230</v>
      </c>
      <c r="D1" s="39" t="s">
        <v>1</v>
      </c>
      <c r="E1" s="40">
        <f>A35</f>
        <v>46236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556</v>
      </c>
      <c r="C3" s="88"/>
      <c r="D3" s="89" t="s">
        <v>47</v>
      </c>
      <c r="E3" s="90"/>
    </row>
    <row r="4" spans="1:5" ht="15.6" customHeight="1" x14ac:dyDescent="0.25">
      <c r="A4" s="47" t="s">
        <v>5</v>
      </c>
      <c r="B4" s="95" t="s">
        <v>419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30'!A35+1</f>
        <v>46230</v>
      </c>
      <c r="B5" s="91" t="s">
        <v>66</v>
      </c>
      <c r="C5" s="92"/>
      <c r="D5" s="93" t="s">
        <v>54</v>
      </c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97" t="s">
        <v>70</v>
      </c>
      <c r="C8" s="88"/>
      <c r="D8" s="89" t="s">
        <v>506</v>
      </c>
      <c r="E8" s="90"/>
    </row>
    <row r="9" spans="1:5" ht="15.6" customHeight="1" x14ac:dyDescent="0.25">
      <c r="A9" s="47" t="s">
        <v>7</v>
      </c>
      <c r="B9" s="95" t="s">
        <v>566</v>
      </c>
      <c r="C9" s="92" t="s">
        <v>6</v>
      </c>
      <c r="D9" s="93" t="s">
        <v>567</v>
      </c>
      <c r="E9" s="94" t="s">
        <v>6</v>
      </c>
    </row>
    <row r="10" spans="1:5" ht="15.6" customHeight="1" x14ac:dyDescent="0.25">
      <c r="A10" s="48">
        <f>A5+1</f>
        <v>46231</v>
      </c>
      <c r="B10" s="95" t="s">
        <v>304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568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555</v>
      </c>
      <c r="C13" s="88"/>
      <c r="D13" s="89" t="s">
        <v>537</v>
      </c>
      <c r="E13" s="90"/>
    </row>
    <row r="14" spans="1:5" ht="15.6" customHeight="1" x14ac:dyDescent="0.25">
      <c r="A14" s="47" t="s">
        <v>9</v>
      </c>
      <c r="B14" s="95" t="s">
        <v>496</v>
      </c>
      <c r="C14" s="92" t="s">
        <v>6</v>
      </c>
      <c r="D14" s="93" t="s">
        <v>538</v>
      </c>
      <c r="E14" s="94" t="s">
        <v>6</v>
      </c>
    </row>
    <row r="15" spans="1:5" ht="15.6" customHeight="1" x14ac:dyDescent="0.25">
      <c r="A15" s="48">
        <f>A10+1</f>
        <v>46232</v>
      </c>
      <c r="B15" s="95" t="s">
        <v>16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12</v>
      </c>
      <c r="C18" s="88"/>
      <c r="D18" s="89" t="s">
        <v>557</v>
      </c>
      <c r="E18" s="94"/>
    </row>
    <row r="19" spans="1:5" ht="15.6" customHeight="1" x14ac:dyDescent="0.25">
      <c r="A19" s="47" t="s">
        <v>10</v>
      </c>
      <c r="B19" s="95" t="s">
        <v>565</v>
      </c>
      <c r="C19" s="92" t="s">
        <v>6</v>
      </c>
      <c r="D19" s="93" t="s">
        <v>560</v>
      </c>
      <c r="E19" s="94" t="s">
        <v>6</v>
      </c>
    </row>
    <row r="20" spans="1:5" ht="15.6" customHeight="1" x14ac:dyDescent="0.25">
      <c r="A20" s="48">
        <f>A15+1</f>
        <v>46233</v>
      </c>
      <c r="B20" s="95"/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510</v>
      </c>
      <c r="C23" s="88"/>
      <c r="D23" s="89" t="s">
        <v>60</v>
      </c>
      <c r="E23" s="90"/>
    </row>
    <row r="24" spans="1:5" ht="15.6" customHeight="1" x14ac:dyDescent="0.25">
      <c r="A24" s="47" t="s">
        <v>15</v>
      </c>
      <c r="B24" s="95" t="s">
        <v>561</v>
      </c>
      <c r="C24" s="92" t="s">
        <v>6</v>
      </c>
      <c r="D24" s="93" t="s">
        <v>27</v>
      </c>
      <c r="E24" s="94" t="s">
        <v>6</v>
      </c>
    </row>
    <row r="25" spans="1:5" ht="15.6" customHeight="1" x14ac:dyDescent="0.25">
      <c r="A25" s="48">
        <f>A20+1</f>
        <v>46234</v>
      </c>
      <c r="B25" s="95" t="s">
        <v>63</v>
      </c>
      <c r="C25" s="92"/>
      <c r="D25" s="93" t="s">
        <v>539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540</v>
      </c>
      <c r="C28" s="88"/>
      <c r="D28" s="89" t="s">
        <v>41</v>
      </c>
      <c r="E28" s="94"/>
    </row>
    <row r="29" spans="1:5" ht="15.6" customHeight="1" x14ac:dyDescent="0.25">
      <c r="A29" s="47" t="s">
        <v>17</v>
      </c>
      <c r="B29" s="95" t="s">
        <v>562</v>
      </c>
      <c r="C29" s="92" t="s">
        <v>6</v>
      </c>
      <c r="D29" s="93" t="s">
        <v>554</v>
      </c>
      <c r="E29" s="94" t="s">
        <v>6</v>
      </c>
    </row>
    <row r="30" spans="1:5" ht="15.6" customHeight="1" x14ac:dyDescent="0.25">
      <c r="A30" s="48">
        <f>A25+1</f>
        <v>46235</v>
      </c>
      <c r="B30" s="95" t="s">
        <v>563</v>
      </c>
      <c r="C30" s="92"/>
      <c r="D30" s="93"/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230</v>
      </c>
      <c r="C33" s="88"/>
      <c r="D33" s="89" t="s">
        <v>558</v>
      </c>
      <c r="E33" s="90"/>
    </row>
    <row r="34" spans="1:5" ht="15" customHeight="1" x14ac:dyDescent="0.25">
      <c r="A34" s="47" t="s">
        <v>21</v>
      </c>
      <c r="B34" s="95" t="s">
        <v>564</v>
      </c>
      <c r="C34" s="92" t="s">
        <v>6</v>
      </c>
      <c r="D34" s="93" t="s">
        <v>559</v>
      </c>
      <c r="E34" s="94" t="s">
        <v>6</v>
      </c>
    </row>
    <row r="35" spans="1:5" ht="15" customHeight="1" x14ac:dyDescent="0.25">
      <c r="A35" s="48">
        <f>A30+1</f>
        <v>46236</v>
      </c>
      <c r="B35" s="95" t="s">
        <v>37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569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02DD-C2C9-42D4-ACC4-001C2500D0ED}">
  <sheetPr codeName="Feuil33">
    <tabColor theme="5" tint="-0.249977111117893"/>
    <pageSetUpPr fitToPage="1"/>
  </sheetPr>
  <dimension ref="A1:E38"/>
  <sheetViews>
    <sheetView workbookViewId="0">
      <selection activeCell="B23" sqref="B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46237</v>
      </c>
      <c r="D1" s="39" t="s">
        <v>1</v>
      </c>
      <c r="E1" s="40">
        <f>A35</f>
        <v>46243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541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38</v>
      </c>
      <c r="C4" s="92" t="s">
        <v>6</v>
      </c>
      <c r="D4" s="93" t="s">
        <v>461</v>
      </c>
      <c r="E4" s="94" t="s">
        <v>6</v>
      </c>
    </row>
    <row r="5" spans="1:5" ht="15.6" customHeight="1" x14ac:dyDescent="0.25">
      <c r="A5" s="48">
        <f>'semaine 31'!A35+1</f>
        <v>46237</v>
      </c>
      <c r="B5" s="91" t="s">
        <v>28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542</v>
      </c>
      <c r="C8" s="88"/>
      <c r="D8" s="89" t="s">
        <v>31</v>
      </c>
      <c r="E8" s="90"/>
    </row>
    <row r="9" spans="1:5" ht="15.6" customHeight="1" x14ac:dyDescent="0.25">
      <c r="A9" s="47" t="s">
        <v>7</v>
      </c>
      <c r="B9" s="95" t="s">
        <v>543</v>
      </c>
      <c r="C9" s="92" t="s">
        <v>6</v>
      </c>
      <c r="D9" s="93" t="s">
        <v>206</v>
      </c>
      <c r="E9" s="94" t="s">
        <v>6</v>
      </c>
    </row>
    <row r="10" spans="1:5" ht="15.6" customHeight="1" x14ac:dyDescent="0.25">
      <c r="A10" s="48">
        <f>A5+1</f>
        <v>46238</v>
      </c>
      <c r="B10" s="95" t="s">
        <v>544</v>
      </c>
      <c r="C10" s="92"/>
      <c r="D10" s="93" t="s">
        <v>545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546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570</v>
      </c>
      <c r="C13" s="88"/>
      <c r="D13" s="89" t="s">
        <v>13</v>
      </c>
      <c r="E13" s="90"/>
    </row>
    <row r="14" spans="1:5" ht="15.6" customHeight="1" x14ac:dyDescent="0.25">
      <c r="A14" s="47" t="s">
        <v>9</v>
      </c>
      <c r="B14" s="95" t="s">
        <v>547</v>
      </c>
      <c r="C14" s="92" t="s">
        <v>6</v>
      </c>
      <c r="D14" s="93" t="s">
        <v>548</v>
      </c>
      <c r="E14" s="94" t="s">
        <v>6</v>
      </c>
    </row>
    <row r="15" spans="1:5" ht="15.6" customHeight="1" x14ac:dyDescent="0.25">
      <c r="A15" s="48">
        <f>A10+1</f>
        <v>46239</v>
      </c>
      <c r="B15" s="95" t="s">
        <v>11</v>
      </c>
      <c r="C15" s="92"/>
      <c r="D15" s="93" t="s">
        <v>448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60</v>
      </c>
      <c r="C18" s="88"/>
      <c r="D18" s="89" t="s">
        <v>44</v>
      </c>
      <c r="E18" s="94"/>
    </row>
    <row r="19" spans="1:5" ht="15.6" customHeight="1" x14ac:dyDescent="0.25">
      <c r="A19" s="47" t="s">
        <v>10</v>
      </c>
      <c r="B19" s="95" t="s">
        <v>67</v>
      </c>
      <c r="C19" s="92" t="s">
        <v>6</v>
      </c>
      <c r="D19" s="93" t="s">
        <v>571</v>
      </c>
      <c r="E19" s="94" t="s">
        <v>6</v>
      </c>
    </row>
    <row r="20" spans="1:5" ht="15.6" customHeight="1" x14ac:dyDescent="0.25">
      <c r="A20" s="48">
        <f>A15+1</f>
        <v>46240</v>
      </c>
      <c r="B20" s="95" t="s">
        <v>50</v>
      </c>
      <c r="C20" s="92"/>
      <c r="D20" s="93" t="s">
        <v>549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72</v>
      </c>
      <c r="C23" s="88"/>
      <c r="D23" s="89" t="s">
        <v>35</v>
      </c>
      <c r="E23" s="90"/>
    </row>
    <row r="24" spans="1:5" ht="15.6" customHeight="1" x14ac:dyDescent="0.25">
      <c r="A24" s="47" t="s">
        <v>15</v>
      </c>
      <c r="B24" s="95" t="s">
        <v>550</v>
      </c>
      <c r="C24" s="92" t="s">
        <v>6</v>
      </c>
      <c r="D24" s="93" t="s">
        <v>551</v>
      </c>
      <c r="E24" s="94" t="s">
        <v>6</v>
      </c>
    </row>
    <row r="25" spans="1:5" ht="15.6" customHeight="1" x14ac:dyDescent="0.25">
      <c r="A25" s="48">
        <f>A20+1</f>
        <v>46241</v>
      </c>
      <c r="B25" s="95" t="s">
        <v>16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34</v>
      </c>
      <c r="C28" s="88"/>
      <c r="D28" s="89" t="s">
        <v>572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61</v>
      </c>
      <c r="E29" s="94" t="s">
        <v>6</v>
      </c>
    </row>
    <row r="30" spans="1:5" ht="15.6" customHeight="1" x14ac:dyDescent="0.25">
      <c r="A30" s="48">
        <f>A25+1</f>
        <v>46242</v>
      </c>
      <c r="B30" s="95" t="s">
        <v>22</v>
      </c>
      <c r="C30" s="92"/>
      <c r="D30" s="93" t="s">
        <v>48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552</v>
      </c>
      <c r="C33" s="88"/>
      <c r="D33" s="89" t="s">
        <v>41</v>
      </c>
      <c r="E33" s="90"/>
    </row>
    <row r="34" spans="1:5" ht="15" customHeight="1" x14ac:dyDescent="0.25">
      <c r="A34" s="47" t="s">
        <v>21</v>
      </c>
      <c r="B34" s="95" t="s">
        <v>553</v>
      </c>
      <c r="C34" s="92" t="s">
        <v>6</v>
      </c>
      <c r="D34" s="93" t="s">
        <v>554</v>
      </c>
      <c r="E34" s="94" t="s">
        <v>6</v>
      </c>
    </row>
    <row r="35" spans="1:5" ht="15" customHeight="1" x14ac:dyDescent="0.25">
      <c r="A35" s="48">
        <f>A30+1</f>
        <v>46243</v>
      </c>
      <c r="B35" s="95" t="s">
        <v>39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1F94-3328-43E0-B491-4A9BBF615ABB}">
  <sheetPr codeName="Feuil34">
    <tabColor rgb="FFFFFF00"/>
    <pageSetUpPr fitToPage="1"/>
  </sheetPr>
  <dimension ref="A1:E38"/>
  <sheetViews>
    <sheetView workbookViewId="0">
      <selection activeCell="C11" sqref="C1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46244</v>
      </c>
      <c r="D1" s="39" t="s">
        <v>1</v>
      </c>
      <c r="E1" s="40">
        <f>A35</f>
        <v>46250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109" t="s">
        <v>589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32'!A35+1</f>
        <v>46244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56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489</v>
      </c>
      <c r="E9" s="94" t="s">
        <v>6</v>
      </c>
    </row>
    <row r="10" spans="1:5" ht="15.6" customHeight="1" x14ac:dyDescent="0.25">
      <c r="A10" s="48">
        <f>A5+1</f>
        <v>46245</v>
      </c>
      <c r="B10" s="95" t="s">
        <v>127</v>
      </c>
      <c r="C10" s="92"/>
      <c r="D10" s="93" t="s">
        <v>22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470</v>
      </c>
      <c r="E14" s="94" t="s">
        <v>6</v>
      </c>
    </row>
    <row r="15" spans="1:5" ht="15.6" customHeight="1" x14ac:dyDescent="0.25">
      <c r="A15" s="48">
        <f>A10+1</f>
        <v>46246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492</v>
      </c>
      <c r="C18" s="88"/>
      <c r="D18" s="89" t="s">
        <v>43</v>
      </c>
      <c r="E18" s="94"/>
    </row>
    <row r="19" spans="1:5" ht="15.6" customHeight="1" x14ac:dyDescent="0.25">
      <c r="A19" s="47" t="s">
        <v>10</v>
      </c>
      <c r="B19" s="95" t="s">
        <v>73</v>
      </c>
      <c r="C19" s="92" t="s">
        <v>6</v>
      </c>
      <c r="D19" s="93" t="s">
        <v>317</v>
      </c>
      <c r="E19" s="94" t="s">
        <v>6</v>
      </c>
    </row>
    <row r="20" spans="1:5" ht="15.6" customHeight="1" x14ac:dyDescent="0.25">
      <c r="A20" s="48">
        <f>A15+1</f>
        <v>46247</v>
      </c>
      <c r="B20" s="95" t="s">
        <v>493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575</v>
      </c>
      <c r="C23" s="88"/>
      <c r="D23" s="89" t="s">
        <v>482</v>
      </c>
      <c r="E23" s="90"/>
    </row>
    <row r="24" spans="1:5" ht="15.6" customHeight="1" x14ac:dyDescent="0.25">
      <c r="A24" s="47" t="s">
        <v>15</v>
      </c>
      <c r="B24" s="95" t="s">
        <v>574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46248</v>
      </c>
      <c r="B25" s="95"/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46249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499</v>
      </c>
      <c r="E34" s="94" t="s">
        <v>6</v>
      </c>
    </row>
    <row r="35" spans="1:5" ht="15" customHeight="1" x14ac:dyDescent="0.25">
      <c r="A35" s="48">
        <f>A30+1</f>
        <v>46250</v>
      </c>
      <c r="B35" s="95" t="s">
        <v>566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55A7-1826-40A8-83E0-0D06C761DEAC}">
  <sheetPr codeName="Feuil35">
    <tabColor rgb="FFFFFF00"/>
    <pageSetUpPr fitToPage="1"/>
  </sheetPr>
  <dimension ref="A1:E38"/>
  <sheetViews>
    <sheetView topLeftCell="A4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46251</v>
      </c>
      <c r="D1" s="39" t="s">
        <v>1</v>
      </c>
      <c r="E1" s="40">
        <f>A35</f>
        <v>46257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31</v>
      </c>
      <c r="C3" s="88"/>
      <c r="D3" s="89" t="s">
        <v>13</v>
      </c>
      <c r="E3" s="90"/>
    </row>
    <row r="4" spans="1:5" ht="15.6" customHeight="1" x14ac:dyDescent="0.25">
      <c r="A4" s="47" t="s">
        <v>5</v>
      </c>
      <c r="B4" s="95" t="s">
        <v>236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33'!A35+1</f>
        <v>46251</v>
      </c>
      <c r="B5" s="91" t="s">
        <v>28</v>
      </c>
      <c r="C5" s="92"/>
      <c r="D5" s="91" t="s">
        <v>36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51</v>
      </c>
      <c r="E8" s="90"/>
    </row>
    <row r="9" spans="1:5" ht="15.6" customHeight="1" x14ac:dyDescent="0.25">
      <c r="A9" s="47" t="s">
        <v>7</v>
      </c>
      <c r="B9" s="95" t="s">
        <v>459</v>
      </c>
      <c r="C9" s="92" t="s">
        <v>6</v>
      </c>
      <c r="D9" s="93" t="s">
        <v>535</v>
      </c>
      <c r="E9" s="94" t="s">
        <v>6</v>
      </c>
    </row>
    <row r="10" spans="1:5" ht="15.6" customHeight="1" x14ac:dyDescent="0.25">
      <c r="A10" s="48">
        <f>A5+1</f>
        <v>46252</v>
      </c>
      <c r="B10" s="95" t="s">
        <v>16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497</v>
      </c>
      <c r="E12" s="94"/>
    </row>
    <row r="13" spans="1:5" ht="15.6" customHeight="1" x14ac:dyDescent="0.25">
      <c r="A13" s="50"/>
      <c r="B13" s="100" t="s">
        <v>519</v>
      </c>
      <c r="C13" s="88"/>
      <c r="D13" s="89" t="s">
        <v>503</v>
      </c>
      <c r="E13" s="90"/>
    </row>
    <row r="14" spans="1:5" ht="15.6" customHeight="1" x14ac:dyDescent="0.25">
      <c r="A14" s="47" t="s">
        <v>9</v>
      </c>
      <c r="B14" s="95" t="s">
        <v>29</v>
      </c>
      <c r="C14" s="92" t="s">
        <v>6</v>
      </c>
      <c r="D14" s="93" t="s">
        <v>504</v>
      </c>
      <c r="E14" s="94" t="s">
        <v>6</v>
      </c>
    </row>
    <row r="15" spans="1:5" ht="15.6" customHeight="1" x14ac:dyDescent="0.25">
      <c r="A15" s="48">
        <f>A10+1</f>
        <v>46253</v>
      </c>
      <c r="B15" s="95" t="s">
        <v>43</v>
      </c>
      <c r="C15" s="92"/>
      <c r="D15" s="93"/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268</v>
      </c>
      <c r="C18" s="88"/>
      <c r="D18" s="113" t="s">
        <v>230</v>
      </c>
      <c r="E18" s="94"/>
    </row>
    <row r="19" spans="1:5" ht="15.6" customHeight="1" x14ac:dyDescent="0.25">
      <c r="A19" s="47" t="s">
        <v>10</v>
      </c>
      <c r="B19" s="95" t="s">
        <v>576</v>
      </c>
      <c r="C19" s="92" t="s">
        <v>6</v>
      </c>
      <c r="D19" s="108" t="s">
        <v>573</v>
      </c>
      <c r="E19" s="94" t="s">
        <v>6</v>
      </c>
    </row>
    <row r="20" spans="1:5" ht="15.6" customHeight="1" x14ac:dyDescent="0.25">
      <c r="A20" s="48">
        <f>A15+1</f>
        <v>46254</v>
      </c>
      <c r="B20" s="95"/>
      <c r="C20" s="92"/>
      <c r="D20" s="93" t="s">
        <v>448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506</v>
      </c>
      <c r="C23" s="88"/>
      <c r="D23" s="89" t="s">
        <v>510</v>
      </c>
      <c r="E23" s="90"/>
    </row>
    <row r="24" spans="1:5" ht="15.6" customHeight="1" x14ac:dyDescent="0.25">
      <c r="A24" s="47" t="s">
        <v>15</v>
      </c>
      <c r="B24" s="95" t="s">
        <v>145</v>
      </c>
      <c r="C24" s="92" t="s">
        <v>6</v>
      </c>
      <c r="D24" s="93" t="s">
        <v>578</v>
      </c>
      <c r="E24" s="94" t="s">
        <v>6</v>
      </c>
    </row>
    <row r="25" spans="1:5" ht="15.6" customHeight="1" x14ac:dyDescent="0.25">
      <c r="A25" s="48">
        <f>A20+1</f>
        <v>46255</v>
      </c>
      <c r="B25" s="108" t="s">
        <v>577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579</v>
      </c>
      <c r="C28" s="88"/>
      <c r="D28" s="89" t="s">
        <v>47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27</v>
      </c>
      <c r="E29" s="94" t="s">
        <v>6</v>
      </c>
    </row>
    <row r="30" spans="1:5" ht="15.6" customHeight="1" x14ac:dyDescent="0.25">
      <c r="A30" s="48">
        <f>A25+1</f>
        <v>46256</v>
      </c>
      <c r="B30" s="95" t="s">
        <v>22</v>
      </c>
      <c r="C30" s="92"/>
      <c r="D30" s="93" t="s">
        <v>19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514</v>
      </c>
      <c r="C33" s="88"/>
      <c r="D33" s="93" t="s">
        <v>41</v>
      </c>
      <c r="E33" s="90"/>
    </row>
    <row r="34" spans="1:5" ht="15" customHeight="1" x14ac:dyDescent="0.25">
      <c r="A34" s="47" t="s">
        <v>21</v>
      </c>
      <c r="B34" s="109" t="s">
        <v>472</v>
      </c>
      <c r="C34" s="92" t="s">
        <v>6</v>
      </c>
      <c r="D34" s="108" t="s">
        <v>12</v>
      </c>
      <c r="E34" s="94" t="s">
        <v>6</v>
      </c>
    </row>
    <row r="35" spans="1:5" ht="15" customHeight="1" x14ac:dyDescent="0.25">
      <c r="A35" s="48">
        <f>A30+1</f>
        <v>46257</v>
      </c>
      <c r="B35" s="95" t="s">
        <v>16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1461-88E1-48C6-B8C4-C71B24435C61}">
  <sheetPr codeName="Feuil36">
    <tabColor rgb="FFFFFF00"/>
    <pageSetUpPr fitToPage="1"/>
  </sheetPr>
  <dimension ref="A1:E38"/>
  <sheetViews>
    <sheetView workbookViewId="0">
      <selection activeCell="F16" sqref="F16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46258</v>
      </c>
      <c r="D1" s="39" t="s">
        <v>1</v>
      </c>
      <c r="E1" s="40">
        <f>A35</f>
        <v>46264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522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109" t="s">
        <v>583</v>
      </c>
      <c r="C4" s="92" t="s">
        <v>6</v>
      </c>
      <c r="D4" s="93" t="s">
        <v>313</v>
      </c>
      <c r="E4" s="94" t="s">
        <v>6</v>
      </c>
    </row>
    <row r="5" spans="1:5" ht="15.6" customHeight="1" x14ac:dyDescent="0.25">
      <c r="A5" s="48">
        <f>'semaine 34'!A35+1</f>
        <v>46258</v>
      </c>
      <c r="B5" s="91" t="s">
        <v>11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515</v>
      </c>
      <c r="C8" s="88"/>
      <c r="D8" s="89" t="s">
        <v>524</v>
      </c>
      <c r="E8" s="90"/>
    </row>
    <row r="9" spans="1:5" ht="15.6" customHeight="1" x14ac:dyDescent="0.25">
      <c r="A9" s="47" t="s">
        <v>7</v>
      </c>
      <c r="B9" s="95" t="s">
        <v>527</v>
      </c>
      <c r="C9" s="92" t="s">
        <v>6</v>
      </c>
      <c r="D9" s="93" t="s">
        <v>525</v>
      </c>
      <c r="E9" s="94" t="s">
        <v>6</v>
      </c>
    </row>
    <row r="10" spans="1:5" ht="15.6" customHeight="1" x14ac:dyDescent="0.25">
      <c r="A10" s="48">
        <f>A5+1</f>
        <v>46259</v>
      </c>
      <c r="B10" s="93" t="s">
        <v>580</v>
      </c>
      <c r="C10" s="92"/>
      <c r="D10" s="95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585</v>
      </c>
      <c r="C13" s="88"/>
      <c r="D13" s="110" t="s">
        <v>584</v>
      </c>
      <c r="E13" s="90"/>
    </row>
    <row r="14" spans="1:5" ht="15.6" customHeight="1" x14ac:dyDescent="0.25">
      <c r="A14" s="47" t="s">
        <v>9</v>
      </c>
      <c r="B14" s="95" t="s">
        <v>331</v>
      </c>
      <c r="C14" s="92" t="s">
        <v>6</v>
      </c>
      <c r="D14" s="93" t="s">
        <v>516</v>
      </c>
      <c r="E14" s="94" t="s">
        <v>6</v>
      </c>
    </row>
    <row r="15" spans="1:5" ht="15.6" customHeight="1" x14ac:dyDescent="0.25">
      <c r="A15" s="48">
        <f>A10+1</f>
        <v>46260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111" t="s">
        <v>540</v>
      </c>
      <c r="C18" s="88"/>
      <c r="D18" s="89" t="s">
        <v>604</v>
      </c>
      <c r="E18" s="94"/>
    </row>
    <row r="19" spans="1:5" ht="15.6" customHeight="1" x14ac:dyDescent="0.25">
      <c r="A19" s="47" t="s">
        <v>10</v>
      </c>
      <c r="B19" s="93" t="s">
        <v>581</v>
      </c>
      <c r="C19" s="92" t="s">
        <v>6</v>
      </c>
      <c r="D19" s="93" t="s">
        <v>27</v>
      </c>
      <c r="E19" s="94" t="s">
        <v>6</v>
      </c>
    </row>
    <row r="20" spans="1:5" ht="15.6" customHeight="1" x14ac:dyDescent="0.25">
      <c r="A20" s="48">
        <f>A15+1</f>
        <v>46261</v>
      </c>
      <c r="B20" s="109" t="s">
        <v>587</v>
      </c>
      <c r="C20" s="92"/>
      <c r="D20" s="93" t="s">
        <v>59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230</v>
      </c>
      <c r="C23" s="88"/>
      <c r="D23" s="97" t="s">
        <v>529</v>
      </c>
      <c r="E23" s="90"/>
    </row>
    <row r="24" spans="1:5" ht="15.6" customHeight="1" x14ac:dyDescent="0.25">
      <c r="A24" s="47" t="s">
        <v>15</v>
      </c>
      <c r="B24" s="95" t="s">
        <v>470</v>
      </c>
      <c r="C24" s="92" t="s">
        <v>6</v>
      </c>
      <c r="D24" s="93" t="s">
        <v>60</v>
      </c>
      <c r="E24" s="94" t="s">
        <v>6</v>
      </c>
    </row>
    <row r="25" spans="1:5" ht="15.6" customHeight="1" x14ac:dyDescent="0.25">
      <c r="A25" s="48">
        <f>A20+1</f>
        <v>46262</v>
      </c>
      <c r="B25" s="109"/>
      <c r="C25" s="92"/>
      <c r="D25" s="93" t="s">
        <v>531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586</v>
      </c>
      <c r="C28" s="88"/>
      <c r="D28" s="89" t="s">
        <v>35</v>
      </c>
      <c r="E28" s="94"/>
    </row>
    <row r="29" spans="1:5" ht="15.6" customHeight="1" x14ac:dyDescent="0.25">
      <c r="A29" s="47" t="s">
        <v>17</v>
      </c>
      <c r="B29" s="112" t="s">
        <v>567</v>
      </c>
      <c r="C29" s="92" t="s">
        <v>6</v>
      </c>
      <c r="D29" s="108" t="s">
        <v>145</v>
      </c>
      <c r="E29" s="94" t="s">
        <v>6</v>
      </c>
    </row>
    <row r="30" spans="1:5" ht="15.6" customHeight="1" x14ac:dyDescent="0.25">
      <c r="A30" s="48">
        <f>A25+1</f>
        <v>46263</v>
      </c>
      <c r="B30" s="95" t="s">
        <v>16</v>
      </c>
      <c r="C30" s="92"/>
      <c r="D30" s="108" t="s">
        <v>588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89" t="s">
        <v>34</v>
      </c>
      <c r="C33" s="88"/>
      <c r="D33" s="89" t="s">
        <v>533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582</v>
      </c>
      <c r="E34" s="94" t="s">
        <v>6</v>
      </c>
    </row>
    <row r="35" spans="1:5" ht="15" customHeight="1" x14ac:dyDescent="0.25">
      <c r="A35" s="48">
        <f>A30+1</f>
        <v>46264</v>
      </c>
      <c r="B35" s="95" t="s">
        <v>53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C73B-42F4-4722-848A-B6FD8477053A}">
  <sheetPr codeName="Feuil37">
    <tabColor rgb="FFFFFF00"/>
    <pageSetUpPr fitToPage="1"/>
  </sheetPr>
  <dimension ref="A1:E38"/>
  <sheetViews>
    <sheetView workbookViewId="0">
      <selection activeCell="B9" sqref="B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46265</v>
      </c>
      <c r="D1" s="39" t="s">
        <v>1</v>
      </c>
      <c r="E1" s="40">
        <f>A35</f>
        <v>46271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590</v>
      </c>
      <c r="C3" s="88"/>
      <c r="D3" s="89" t="s">
        <v>47</v>
      </c>
      <c r="E3" s="90"/>
    </row>
    <row r="4" spans="1:5" ht="15.6" customHeight="1" x14ac:dyDescent="0.25">
      <c r="A4" s="47" t="s">
        <v>5</v>
      </c>
      <c r="B4" s="95" t="s">
        <v>460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35'!A35+1</f>
        <v>46265</v>
      </c>
      <c r="B5" s="91" t="s">
        <v>273</v>
      </c>
      <c r="C5" s="92"/>
      <c r="D5" s="93" t="s">
        <v>448</v>
      </c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97" t="s">
        <v>41</v>
      </c>
      <c r="C8" s="88"/>
      <c r="D8" s="89" t="s">
        <v>506</v>
      </c>
      <c r="E8" s="90"/>
    </row>
    <row r="9" spans="1:5" ht="15.6" customHeight="1" x14ac:dyDescent="0.25">
      <c r="A9" s="47" t="s">
        <v>7</v>
      </c>
      <c r="B9" s="95" t="s">
        <v>591</v>
      </c>
      <c r="C9" s="92" t="s">
        <v>6</v>
      </c>
      <c r="D9" s="93" t="s">
        <v>592</v>
      </c>
      <c r="E9" s="94" t="s">
        <v>6</v>
      </c>
    </row>
    <row r="10" spans="1:5" ht="15.6" customHeight="1" x14ac:dyDescent="0.25">
      <c r="A10" s="48">
        <f>A5+1</f>
        <v>46266</v>
      </c>
      <c r="B10" s="95" t="s">
        <v>304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55</v>
      </c>
      <c r="C13" s="88"/>
      <c r="D13" s="89" t="s">
        <v>537</v>
      </c>
      <c r="E13" s="90"/>
    </row>
    <row r="14" spans="1:5" ht="15.6" customHeight="1" x14ac:dyDescent="0.25">
      <c r="A14" s="47" t="s">
        <v>9</v>
      </c>
      <c r="B14" s="95" t="s">
        <v>593</v>
      </c>
      <c r="C14" s="92" t="s">
        <v>6</v>
      </c>
      <c r="D14" s="93" t="s">
        <v>538</v>
      </c>
      <c r="E14" s="94" t="s">
        <v>6</v>
      </c>
    </row>
    <row r="15" spans="1:5" ht="15.6" customHeight="1" x14ac:dyDescent="0.25">
      <c r="A15" s="48">
        <f>A10+1</f>
        <v>46267</v>
      </c>
      <c r="B15" s="95" t="s">
        <v>16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25</v>
      </c>
      <c r="C18" s="88"/>
      <c r="D18" s="89" t="s">
        <v>594</v>
      </c>
      <c r="E18" s="94"/>
    </row>
    <row r="19" spans="1:5" ht="15.6" customHeight="1" x14ac:dyDescent="0.25">
      <c r="A19" s="47" t="s">
        <v>10</v>
      </c>
      <c r="B19" s="95" t="s">
        <v>595</v>
      </c>
      <c r="C19" s="92" t="s">
        <v>6</v>
      </c>
      <c r="D19" s="93" t="s">
        <v>596</v>
      </c>
      <c r="E19" s="94" t="s">
        <v>6</v>
      </c>
    </row>
    <row r="20" spans="1:5" ht="15.6" customHeight="1" x14ac:dyDescent="0.25">
      <c r="A20" s="48">
        <f>A15+1</f>
        <v>46268</v>
      </c>
      <c r="B20" s="95" t="s">
        <v>46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597</v>
      </c>
      <c r="C23" s="88"/>
      <c r="D23" s="89" t="s">
        <v>60</v>
      </c>
      <c r="E23" s="90"/>
    </row>
    <row r="24" spans="1:5" ht="15.6" customHeight="1" x14ac:dyDescent="0.25">
      <c r="A24" s="47" t="s">
        <v>15</v>
      </c>
      <c r="B24" s="95" t="s">
        <v>598</v>
      </c>
      <c r="C24" s="92" t="s">
        <v>6</v>
      </c>
      <c r="D24" s="93" t="s">
        <v>27</v>
      </c>
      <c r="E24" s="94" t="s">
        <v>6</v>
      </c>
    </row>
    <row r="25" spans="1:5" ht="15.6" customHeight="1" x14ac:dyDescent="0.25">
      <c r="A25" s="48">
        <f>A20+1</f>
        <v>46269</v>
      </c>
      <c r="B25" s="95" t="s">
        <v>63</v>
      </c>
      <c r="C25" s="92"/>
      <c r="D25" s="93" t="s">
        <v>539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540</v>
      </c>
      <c r="C28" s="88"/>
      <c r="D28" s="89" t="s">
        <v>41</v>
      </c>
      <c r="E28" s="94"/>
    </row>
    <row r="29" spans="1:5" ht="15.6" customHeight="1" x14ac:dyDescent="0.25">
      <c r="A29" s="47" t="s">
        <v>17</v>
      </c>
      <c r="B29" s="95" t="s">
        <v>61</v>
      </c>
      <c r="C29" s="92" t="s">
        <v>6</v>
      </c>
      <c r="D29" s="93" t="s">
        <v>599</v>
      </c>
      <c r="E29" s="94" t="s">
        <v>6</v>
      </c>
    </row>
    <row r="30" spans="1:5" ht="15.6" customHeight="1" x14ac:dyDescent="0.25">
      <c r="A30" s="48">
        <f>A25+1</f>
        <v>46270</v>
      </c>
      <c r="B30" s="95" t="s">
        <v>600</v>
      </c>
      <c r="C30" s="92"/>
      <c r="D30" s="93"/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230</v>
      </c>
      <c r="C33" s="88"/>
      <c r="D33" s="89" t="s">
        <v>601</v>
      </c>
      <c r="E33" s="90"/>
    </row>
    <row r="34" spans="1:5" ht="15" customHeight="1" x14ac:dyDescent="0.25">
      <c r="A34" s="47" t="s">
        <v>21</v>
      </c>
      <c r="B34" s="95" t="s">
        <v>602</v>
      </c>
      <c r="C34" s="92" t="s">
        <v>6</v>
      </c>
      <c r="D34" s="93" t="s">
        <v>603</v>
      </c>
      <c r="E34" s="94" t="s">
        <v>6</v>
      </c>
    </row>
    <row r="35" spans="1:5" ht="15" customHeight="1" x14ac:dyDescent="0.25">
      <c r="A35" s="48">
        <f>A30+1</f>
        <v>46271</v>
      </c>
      <c r="B35" s="95" t="s">
        <v>37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903A-040E-48E5-A213-3E81AB8CF365}">
  <sheetPr codeName="Feuil38">
    <tabColor rgb="FFFFFF00"/>
    <pageSetUpPr fitToPage="1"/>
  </sheetPr>
  <dimension ref="A1:E38"/>
  <sheetViews>
    <sheetView workbookViewId="0">
      <selection activeCell="D34" sqref="D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46272</v>
      </c>
      <c r="D1" s="39" t="s">
        <v>1</v>
      </c>
      <c r="E1" s="40">
        <f>A35</f>
        <v>46278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541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38</v>
      </c>
      <c r="C4" s="92" t="s">
        <v>6</v>
      </c>
      <c r="D4" s="93" t="s">
        <v>461</v>
      </c>
      <c r="E4" s="94" t="s">
        <v>6</v>
      </c>
    </row>
    <row r="5" spans="1:5" ht="15.6" customHeight="1" x14ac:dyDescent="0.25">
      <c r="A5" s="48">
        <f>'semaine 36'!A35+1</f>
        <v>46272</v>
      </c>
      <c r="B5" s="91" t="s">
        <v>28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542</v>
      </c>
      <c r="C8" s="88"/>
      <c r="D8" s="89" t="s">
        <v>14</v>
      </c>
      <c r="E8" s="90"/>
    </row>
    <row r="9" spans="1:5" ht="15.6" customHeight="1" x14ac:dyDescent="0.25">
      <c r="A9" s="47" t="s">
        <v>7</v>
      </c>
      <c r="B9" s="95" t="s">
        <v>543</v>
      </c>
      <c r="C9" s="92" t="s">
        <v>6</v>
      </c>
      <c r="D9" s="93" t="s">
        <v>145</v>
      </c>
      <c r="E9" s="94" t="s">
        <v>6</v>
      </c>
    </row>
    <row r="10" spans="1:5" ht="15.6" customHeight="1" x14ac:dyDescent="0.25">
      <c r="A10" s="48">
        <f>A5+1</f>
        <v>46273</v>
      </c>
      <c r="B10" s="95" t="s">
        <v>544</v>
      </c>
      <c r="C10" s="92"/>
      <c r="D10" s="93" t="s">
        <v>545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546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570</v>
      </c>
      <c r="C13" s="88"/>
      <c r="D13" s="89" t="s">
        <v>13</v>
      </c>
      <c r="E13" s="90"/>
    </row>
    <row r="14" spans="1:5" ht="15.6" customHeight="1" x14ac:dyDescent="0.25">
      <c r="A14" s="47" t="s">
        <v>9</v>
      </c>
      <c r="B14" s="95" t="s">
        <v>547</v>
      </c>
      <c r="C14" s="92" t="s">
        <v>6</v>
      </c>
      <c r="D14" s="93" t="s">
        <v>548</v>
      </c>
      <c r="E14" s="94" t="s">
        <v>6</v>
      </c>
    </row>
    <row r="15" spans="1:5" ht="15.6" customHeight="1" x14ac:dyDescent="0.25">
      <c r="A15" s="48">
        <f>A10+1</f>
        <v>46274</v>
      </c>
      <c r="B15" s="95" t="s">
        <v>11</v>
      </c>
      <c r="C15" s="92"/>
      <c r="D15" s="93" t="s">
        <v>448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60</v>
      </c>
      <c r="C18" s="88"/>
      <c r="D18" s="89" t="s">
        <v>44</v>
      </c>
      <c r="E18" s="94"/>
    </row>
    <row r="19" spans="1:5" ht="15.6" customHeight="1" x14ac:dyDescent="0.25">
      <c r="A19" s="47" t="s">
        <v>10</v>
      </c>
      <c r="B19" s="95" t="s">
        <v>67</v>
      </c>
      <c r="C19" s="92" t="s">
        <v>6</v>
      </c>
      <c r="D19" s="93" t="s">
        <v>571</v>
      </c>
      <c r="E19" s="94" t="s">
        <v>6</v>
      </c>
    </row>
    <row r="20" spans="1:5" ht="15.6" customHeight="1" x14ac:dyDescent="0.25">
      <c r="A20" s="48">
        <f>A15+1</f>
        <v>46275</v>
      </c>
      <c r="B20" s="95" t="s">
        <v>50</v>
      </c>
      <c r="C20" s="92"/>
      <c r="D20" s="93" t="s">
        <v>549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72</v>
      </c>
      <c r="C23" s="88"/>
      <c r="D23" s="89" t="s">
        <v>35</v>
      </c>
      <c r="E23" s="90"/>
    </row>
    <row r="24" spans="1:5" ht="15.6" customHeight="1" x14ac:dyDescent="0.25">
      <c r="A24" s="47" t="s">
        <v>15</v>
      </c>
      <c r="B24" s="95" t="s">
        <v>550</v>
      </c>
      <c r="C24" s="92" t="s">
        <v>6</v>
      </c>
      <c r="D24" s="93" t="s">
        <v>605</v>
      </c>
      <c r="E24" s="94" t="s">
        <v>6</v>
      </c>
    </row>
    <row r="25" spans="1:5" ht="15.6" customHeight="1" x14ac:dyDescent="0.25">
      <c r="A25" s="48">
        <f>A20+1</f>
        <v>46276</v>
      </c>
      <c r="B25" s="95" t="s">
        <v>16</v>
      </c>
      <c r="C25" s="92"/>
      <c r="D25" s="93" t="s">
        <v>606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34</v>
      </c>
      <c r="C28" s="88"/>
      <c r="D28" s="89" t="s">
        <v>572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573</v>
      </c>
      <c r="E29" s="94" t="s">
        <v>6</v>
      </c>
    </row>
    <row r="30" spans="1:5" ht="15.6" customHeight="1" x14ac:dyDescent="0.25">
      <c r="A30" s="48">
        <f>A25+1</f>
        <v>46277</v>
      </c>
      <c r="B30" s="95" t="s">
        <v>22</v>
      </c>
      <c r="C30" s="92"/>
      <c r="D30" s="93" t="s">
        <v>48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552</v>
      </c>
      <c r="C33" s="88"/>
      <c r="D33" s="89" t="s">
        <v>41</v>
      </c>
      <c r="E33" s="90"/>
    </row>
    <row r="34" spans="1:5" ht="15" customHeight="1" x14ac:dyDescent="0.25">
      <c r="A34" s="47" t="s">
        <v>21</v>
      </c>
      <c r="B34" s="95" t="s">
        <v>553</v>
      </c>
      <c r="C34" s="92" t="s">
        <v>6</v>
      </c>
      <c r="D34" s="93" t="s">
        <v>554</v>
      </c>
      <c r="E34" s="94" t="s">
        <v>6</v>
      </c>
    </row>
    <row r="35" spans="1:5" ht="15" customHeight="1" x14ac:dyDescent="0.25">
      <c r="A35" s="48">
        <f>A30+1</f>
        <v>46278</v>
      </c>
      <c r="B35" s="95" t="s">
        <v>39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221F-7715-4D62-88A3-8800E74D7541}">
  <sheetPr codeName="Feuil39">
    <tabColor rgb="FFFFFF00"/>
    <pageSetUpPr fitToPage="1"/>
  </sheetPr>
  <dimension ref="A1:E38"/>
  <sheetViews>
    <sheetView zoomScale="85" zoomScaleNormal="85" workbookViewId="0">
      <selection activeCell="D29" sqref="D2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46279</v>
      </c>
      <c r="D1" s="39" t="s">
        <v>1</v>
      </c>
      <c r="E1" s="40">
        <f>A35</f>
        <v>46285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515</v>
      </c>
      <c r="E3" s="90"/>
    </row>
    <row r="4" spans="1:5" ht="15.6" customHeight="1" x14ac:dyDescent="0.25">
      <c r="A4" s="47" t="s">
        <v>5</v>
      </c>
      <c r="B4" s="95" t="s">
        <v>483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37'!A35+1</f>
        <v>46279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93" t="s">
        <v>489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607</v>
      </c>
      <c r="E9" s="94" t="s">
        <v>6</v>
      </c>
    </row>
    <row r="10" spans="1:5" ht="15.6" customHeight="1" x14ac:dyDescent="0.25">
      <c r="A10" s="48">
        <f>A5+1</f>
        <v>46280</v>
      </c>
      <c r="B10" s="95" t="s">
        <v>127</v>
      </c>
      <c r="C10" s="92"/>
      <c r="D10" s="93" t="s">
        <v>16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621</v>
      </c>
      <c r="E14" s="94" t="s">
        <v>6</v>
      </c>
    </row>
    <row r="15" spans="1:5" ht="15.6" customHeight="1" x14ac:dyDescent="0.25">
      <c r="A15" s="48">
        <f>A10+1</f>
        <v>46281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575</v>
      </c>
      <c r="C18" s="88"/>
      <c r="D18" s="89" t="s">
        <v>608</v>
      </c>
      <c r="E18" s="94"/>
    </row>
    <row r="19" spans="1:5" ht="15.6" customHeight="1" x14ac:dyDescent="0.25">
      <c r="A19" s="47" t="s">
        <v>10</v>
      </c>
      <c r="B19" s="95" t="s">
        <v>623</v>
      </c>
      <c r="C19" s="92" t="s">
        <v>6</v>
      </c>
      <c r="D19" s="93" t="s">
        <v>43</v>
      </c>
      <c r="E19" s="94" t="s">
        <v>6</v>
      </c>
    </row>
    <row r="20" spans="1:5" ht="15.6" customHeight="1" x14ac:dyDescent="0.25">
      <c r="A20" s="48">
        <f>A15+1</f>
        <v>46282</v>
      </c>
      <c r="B20" s="95" t="s">
        <v>493</v>
      </c>
      <c r="C20" s="92"/>
      <c r="D20" s="93" t="s">
        <v>609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141</v>
      </c>
      <c r="C23" s="88"/>
      <c r="D23" s="89" t="s">
        <v>610</v>
      </c>
      <c r="E23" s="90"/>
    </row>
    <row r="24" spans="1:5" ht="15.6" customHeight="1" x14ac:dyDescent="0.25">
      <c r="A24" s="47" t="s">
        <v>15</v>
      </c>
      <c r="B24" s="95" t="s">
        <v>561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46283</v>
      </c>
      <c r="B25" s="95" t="s">
        <v>63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46284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611</v>
      </c>
      <c r="E34" s="94" t="s">
        <v>6</v>
      </c>
    </row>
    <row r="35" spans="1:5" ht="15" customHeight="1" x14ac:dyDescent="0.25">
      <c r="A35" s="48">
        <f>A30+1</f>
        <v>46285</v>
      </c>
      <c r="B35" s="95" t="s">
        <v>500</v>
      </c>
      <c r="C35" s="92"/>
      <c r="D35" s="93" t="s">
        <v>612</v>
      </c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4631-4920-45F3-B3DC-96ACA0778A48}">
  <sheetPr codeName="Feuil40">
    <tabColor rgb="FFFFFF00"/>
    <pageSetUpPr fitToPage="1"/>
  </sheetPr>
  <dimension ref="A1:E38"/>
  <sheetViews>
    <sheetView zoomScale="85" zoomScaleNormal="85" workbookViewId="0">
      <selection activeCell="B12" sqref="B12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46286</v>
      </c>
      <c r="D1" s="39" t="s">
        <v>1</v>
      </c>
      <c r="E1" s="40">
        <f>A35</f>
        <v>46292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132</v>
      </c>
      <c r="C3" s="88"/>
      <c r="D3" s="89" t="s">
        <v>103</v>
      </c>
      <c r="E3" s="90"/>
    </row>
    <row r="4" spans="1:5" ht="15.6" customHeight="1" x14ac:dyDescent="0.25">
      <c r="A4" s="47" t="s">
        <v>5</v>
      </c>
      <c r="B4" s="95" t="s">
        <v>625</v>
      </c>
      <c r="C4" s="92" t="s">
        <v>6</v>
      </c>
      <c r="D4" s="117" t="s">
        <v>331</v>
      </c>
      <c r="E4" s="94"/>
    </row>
    <row r="5" spans="1:5" ht="15.6" customHeight="1" x14ac:dyDescent="0.25">
      <c r="A5" s="48">
        <f>'semaine 38'!A35+1</f>
        <v>46286</v>
      </c>
      <c r="B5" s="91" t="s">
        <v>624</v>
      </c>
      <c r="C5" s="92"/>
      <c r="D5" s="118"/>
      <c r="E5" s="94"/>
    </row>
    <row r="6" spans="1:5" ht="15.6" customHeight="1" x14ac:dyDescent="0.25">
      <c r="A6" s="48"/>
      <c r="B6" s="91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112</v>
      </c>
      <c r="C8" s="88"/>
      <c r="D8" s="93" t="s">
        <v>522</v>
      </c>
      <c r="E8" s="90"/>
    </row>
    <row r="9" spans="1:5" ht="15.6" customHeight="1" x14ac:dyDescent="0.25">
      <c r="A9" s="47" t="s">
        <v>7</v>
      </c>
      <c r="B9" s="95" t="s">
        <v>134</v>
      </c>
      <c r="C9" s="92" t="s">
        <v>6</v>
      </c>
      <c r="D9" s="93" t="s">
        <v>622</v>
      </c>
      <c r="E9" s="94"/>
    </row>
    <row r="10" spans="1:5" ht="15.6" customHeight="1" x14ac:dyDescent="0.25">
      <c r="A10" s="48">
        <f>A5+1</f>
        <v>46287</v>
      </c>
      <c r="B10" s="95"/>
      <c r="C10" s="92"/>
      <c r="D10" s="93" t="s">
        <v>613</v>
      </c>
      <c r="E10" s="94"/>
    </row>
    <row r="11" spans="1:5" ht="15.6" customHeight="1" x14ac:dyDescent="0.25">
      <c r="A11" s="47"/>
      <c r="B11" s="95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86</v>
      </c>
      <c r="E12" s="94"/>
    </row>
    <row r="13" spans="1:5" ht="15.6" customHeight="1" x14ac:dyDescent="0.25">
      <c r="A13" s="50"/>
      <c r="B13" s="97" t="s">
        <v>158</v>
      </c>
      <c r="C13" s="88"/>
      <c r="D13" s="89" t="s">
        <v>515</v>
      </c>
      <c r="E13" s="90"/>
    </row>
    <row r="14" spans="1:5" ht="15.6" customHeight="1" x14ac:dyDescent="0.25">
      <c r="A14" s="47" t="s">
        <v>9</v>
      </c>
      <c r="B14" s="95" t="s">
        <v>38</v>
      </c>
      <c r="C14" s="92" t="s">
        <v>6</v>
      </c>
      <c r="D14" s="93" t="s">
        <v>159</v>
      </c>
      <c r="E14" s="94"/>
    </row>
    <row r="15" spans="1:5" ht="15.6" customHeight="1" x14ac:dyDescent="0.25">
      <c r="A15" s="48">
        <f>A10+1</f>
        <v>46288</v>
      </c>
      <c r="B15" s="95" t="s">
        <v>160</v>
      </c>
      <c r="C15" s="92"/>
      <c r="D15" s="93" t="s">
        <v>614</v>
      </c>
      <c r="E15" s="94"/>
    </row>
    <row r="16" spans="1:5" ht="15.6" customHeight="1" x14ac:dyDescent="0.25">
      <c r="A16" s="47"/>
      <c r="B16" s="95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3" t="s">
        <v>86</v>
      </c>
      <c r="E17" s="98"/>
    </row>
    <row r="18" spans="1:5" ht="15.6" customHeight="1" x14ac:dyDescent="0.25">
      <c r="A18" s="50"/>
      <c r="B18" s="97" t="s">
        <v>102</v>
      </c>
      <c r="C18" s="88"/>
      <c r="D18" s="106" t="s">
        <v>616</v>
      </c>
      <c r="E18" s="94"/>
    </row>
    <row r="19" spans="1:5" ht="15.6" customHeight="1" x14ac:dyDescent="0.25">
      <c r="A19" s="47" t="s">
        <v>10</v>
      </c>
      <c r="B19" s="114" t="s">
        <v>170</v>
      </c>
      <c r="C19" s="92" t="s">
        <v>6</v>
      </c>
      <c r="D19" s="93" t="s">
        <v>162</v>
      </c>
      <c r="E19" s="94"/>
    </row>
    <row r="20" spans="1:5" ht="15.6" customHeight="1" x14ac:dyDescent="0.25">
      <c r="A20" s="48">
        <f>A15+1</f>
        <v>46289</v>
      </c>
      <c r="B20" s="116" t="s">
        <v>28</v>
      </c>
      <c r="C20" s="92"/>
      <c r="D20" s="93" t="s">
        <v>615</v>
      </c>
      <c r="E20" s="94"/>
    </row>
    <row r="21" spans="1:5" ht="15.6" customHeight="1" x14ac:dyDescent="0.25">
      <c r="A21" s="47"/>
      <c r="B21" s="95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3" t="s">
        <v>86</v>
      </c>
      <c r="E22" s="94"/>
    </row>
    <row r="23" spans="1:5" ht="15.6" customHeight="1" x14ac:dyDescent="0.25">
      <c r="A23" s="50"/>
      <c r="B23" s="97" t="s">
        <v>165</v>
      </c>
      <c r="C23" s="88"/>
      <c r="D23" s="89" t="s">
        <v>136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137</v>
      </c>
      <c r="E24" s="94"/>
    </row>
    <row r="25" spans="1:5" ht="15.6" customHeight="1" x14ac:dyDescent="0.25">
      <c r="A25" s="48">
        <f>A20+1</f>
        <v>46290</v>
      </c>
      <c r="B25" s="95" t="s">
        <v>233</v>
      </c>
      <c r="C25" s="92"/>
      <c r="D25" s="93" t="s">
        <v>101</v>
      </c>
      <c r="E25" s="94"/>
    </row>
    <row r="26" spans="1:5" ht="15.6" customHeight="1" x14ac:dyDescent="0.25">
      <c r="A26" s="47"/>
      <c r="B26" s="95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3" t="s">
        <v>86</v>
      </c>
      <c r="E27" s="98"/>
    </row>
    <row r="28" spans="1:5" ht="15.6" customHeight="1" x14ac:dyDescent="0.25">
      <c r="A28" s="50"/>
      <c r="B28" s="97" t="s">
        <v>617</v>
      </c>
      <c r="C28" s="88"/>
      <c r="D28" s="97" t="s">
        <v>75</v>
      </c>
      <c r="E28" s="94"/>
    </row>
    <row r="29" spans="1:5" ht="15.6" customHeight="1" x14ac:dyDescent="0.25">
      <c r="A29" s="47" t="s">
        <v>17</v>
      </c>
      <c r="B29" s="95" t="s">
        <v>167</v>
      </c>
      <c r="C29" s="92" t="s">
        <v>6</v>
      </c>
      <c r="D29" s="93" t="s">
        <v>168</v>
      </c>
      <c r="E29" s="94"/>
    </row>
    <row r="30" spans="1:5" ht="15.6" customHeight="1" x14ac:dyDescent="0.25">
      <c r="A30" s="48">
        <f>A25+1</f>
        <v>46291</v>
      </c>
      <c r="B30" s="95" t="s">
        <v>169</v>
      </c>
      <c r="C30" s="92"/>
      <c r="D30" s="93"/>
      <c r="E30" s="94"/>
    </row>
    <row r="31" spans="1:5" ht="15" customHeight="1" x14ac:dyDescent="0.25">
      <c r="A31" s="47"/>
      <c r="B31" s="95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5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618</v>
      </c>
      <c r="C33" s="88"/>
      <c r="D33" s="89" t="s">
        <v>138</v>
      </c>
      <c r="E33" s="90"/>
    </row>
    <row r="34" spans="1:5" ht="15" customHeight="1" x14ac:dyDescent="0.25">
      <c r="A34" s="47" t="s">
        <v>21</v>
      </c>
      <c r="B34" s="116" t="s">
        <v>38</v>
      </c>
      <c r="C34" s="92" t="s">
        <v>6</v>
      </c>
      <c r="D34" s="93" t="s">
        <v>619</v>
      </c>
      <c r="E34" s="94"/>
    </row>
    <row r="35" spans="1:5" ht="15" customHeight="1" x14ac:dyDescent="0.25">
      <c r="A35" s="48">
        <f>A30+1</f>
        <v>46292</v>
      </c>
      <c r="B35" s="115" t="s">
        <v>273</v>
      </c>
      <c r="C35" s="92"/>
      <c r="D35" s="105" t="s">
        <v>620</v>
      </c>
      <c r="E35" s="94"/>
    </row>
    <row r="36" spans="1:5" ht="15" customHeight="1" x14ac:dyDescent="0.25">
      <c r="A36" s="47"/>
      <c r="B36" s="95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2E29-4B86-424F-9B92-A3F941E0FA72}">
  <sheetPr codeName="Feuil41">
    <tabColor rgb="FF644300"/>
    <pageSetUpPr fitToPage="1"/>
  </sheetPr>
  <dimension ref="A1:E38"/>
  <sheetViews>
    <sheetView zoomScale="85" zoomScaleNormal="85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46293</v>
      </c>
      <c r="D1" s="39" t="s">
        <v>1</v>
      </c>
      <c r="E1" s="40">
        <f>A35</f>
        <v>46299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117</v>
      </c>
      <c r="C3" s="88"/>
      <c r="D3" s="89" t="s">
        <v>190</v>
      </c>
      <c r="E3" s="90"/>
    </row>
    <row r="4" spans="1:5" ht="15.6" customHeight="1" x14ac:dyDescent="0.25">
      <c r="A4" s="47" t="s">
        <v>5</v>
      </c>
      <c r="B4" s="95" t="s">
        <v>628</v>
      </c>
      <c r="C4" s="92" t="s">
        <v>6</v>
      </c>
      <c r="D4" s="93" t="s">
        <v>177</v>
      </c>
      <c r="E4" s="94" t="s">
        <v>6</v>
      </c>
    </row>
    <row r="5" spans="1:5" ht="15.6" customHeight="1" x14ac:dyDescent="0.25">
      <c r="A5" s="48">
        <f>'semaine 39'!A35+1</f>
        <v>46293</v>
      </c>
      <c r="B5" s="91" t="s">
        <v>140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78</v>
      </c>
      <c r="C8" s="88"/>
      <c r="D8" s="89" t="s">
        <v>176</v>
      </c>
      <c r="E8" s="90"/>
    </row>
    <row r="9" spans="1:5" ht="15.6" customHeight="1" x14ac:dyDescent="0.25">
      <c r="A9" s="47" t="s">
        <v>7</v>
      </c>
      <c r="B9" s="95" t="s">
        <v>333</v>
      </c>
      <c r="C9" s="92"/>
      <c r="D9" s="93" t="s">
        <v>484</v>
      </c>
      <c r="E9" s="94" t="s">
        <v>6</v>
      </c>
    </row>
    <row r="10" spans="1:5" ht="15.6" customHeight="1" x14ac:dyDescent="0.25">
      <c r="A10" s="48">
        <f>A5+1</f>
        <v>46294</v>
      </c>
      <c r="B10" s="95" t="s">
        <v>629</v>
      </c>
      <c r="C10" s="92"/>
      <c r="D10" s="93" t="s">
        <v>634</v>
      </c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630</v>
      </c>
      <c r="C13" s="88"/>
      <c r="D13" s="89" t="s">
        <v>635</v>
      </c>
      <c r="E13" s="90"/>
    </row>
    <row r="14" spans="1:5" ht="15.6" customHeight="1" x14ac:dyDescent="0.25">
      <c r="A14" s="47" t="s">
        <v>9</v>
      </c>
      <c r="B14" s="95" t="s">
        <v>347</v>
      </c>
      <c r="C14" s="92"/>
      <c r="D14" s="93" t="s">
        <v>636</v>
      </c>
      <c r="E14" s="94"/>
    </row>
    <row r="15" spans="1:5" ht="15.6" customHeight="1" x14ac:dyDescent="0.25">
      <c r="A15" s="48">
        <f>A10+1</f>
        <v>46295</v>
      </c>
      <c r="B15" s="95" t="s">
        <v>327</v>
      </c>
      <c r="C15" s="92"/>
      <c r="D15" s="93"/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631</v>
      </c>
      <c r="C18" s="88"/>
      <c r="D18" s="113" t="s">
        <v>637</v>
      </c>
      <c r="E18" s="94"/>
    </row>
    <row r="19" spans="1:5" ht="15.6" customHeight="1" x14ac:dyDescent="0.25">
      <c r="A19" s="47" t="s">
        <v>10</v>
      </c>
      <c r="B19" s="95" t="s">
        <v>632</v>
      </c>
      <c r="C19" s="92"/>
      <c r="D19" s="108" t="s">
        <v>638</v>
      </c>
      <c r="E19" s="94"/>
    </row>
    <row r="20" spans="1:5" ht="15.6" customHeight="1" x14ac:dyDescent="0.25">
      <c r="A20" s="48">
        <f>A15+1</f>
        <v>46296</v>
      </c>
      <c r="B20" s="95" t="s">
        <v>633</v>
      </c>
      <c r="C20" s="92"/>
      <c r="D20" s="93" t="s">
        <v>77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640</v>
      </c>
      <c r="C23" s="88"/>
      <c r="D23" s="89" t="s">
        <v>645</v>
      </c>
      <c r="E23" s="90"/>
    </row>
    <row r="24" spans="1:5" ht="15.6" customHeight="1" x14ac:dyDescent="0.25">
      <c r="A24" s="47" t="s">
        <v>15</v>
      </c>
      <c r="B24" s="95" t="s">
        <v>639</v>
      </c>
      <c r="C24" s="92"/>
      <c r="D24" s="93" t="s">
        <v>646</v>
      </c>
      <c r="E24" s="94"/>
    </row>
    <row r="25" spans="1:5" ht="15.6" customHeight="1" x14ac:dyDescent="0.25">
      <c r="A25" s="48">
        <f>A20+1</f>
        <v>46297</v>
      </c>
      <c r="B25" s="108" t="s">
        <v>710</v>
      </c>
      <c r="C25" s="92"/>
      <c r="D25" s="93" t="s">
        <v>647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641</v>
      </c>
      <c r="C28" s="88"/>
      <c r="D28" s="89" t="s">
        <v>78</v>
      </c>
      <c r="E28" s="94"/>
    </row>
    <row r="29" spans="1:5" ht="15.6" customHeight="1" x14ac:dyDescent="0.25">
      <c r="A29" s="47" t="s">
        <v>17</v>
      </c>
      <c r="B29" s="95" t="s">
        <v>642</v>
      </c>
      <c r="C29" s="92"/>
      <c r="D29" s="93" t="s">
        <v>648</v>
      </c>
      <c r="E29" s="94"/>
    </row>
    <row r="30" spans="1:5" ht="15.6" customHeight="1" x14ac:dyDescent="0.25">
      <c r="A30" s="48">
        <f>A25+1</f>
        <v>46298</v>
      </c>
      <c r="B30" s="95" t="s">
        <v>82</v>
      </c>
      <c r="C30" s="92"/>
      <c r="D30" s="93"/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643</v>
      </c>
      <c r="C33" s="88"/>
      <c r="D33" s="93" t="s">
        <v>649</v>
      </c>
      <c r="E33" s="90"/>
    </row>
    <row r="34" spans="1:5" ht="15" customHeight="1" x14ac:dyDescent="0.25">
      <c r="A34" s="47" t="s">
        <v>21</v>
      </c>
      <c r="B34" s="109" t="s">
        <v>644</v>
      </c>
      <c r="C34" s="92"/>
      <c r="D34" s="108" t="s">
        <v>650</v>
      </c>
      <c r="E34" s="94"/>
    </row>
    <row r="35" spans="1:5" ht="15" customHeight="1" x14ac:dyDescent="0.25">
      <c r="A35" s="48">
        <f>A30+1</f>
        <v>46299</v>
      </c>
      <c r="B35" s="95" t="s">
        <v>114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9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1552-6D13-4DB5-87E3-35D8E65B75EA}">
  <sheetPr codeName="Feuil42">
    <tabColor rgb="FF644300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46300</v>
      </c>
      <c r="D1" s="39" t="s">
        <v>1</v>
      </c>
      <c r="E1" s="40">
        <f>A35</f>
        <v>46306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626</v>
      </c>
      <c r="C3" s="88"/>
      <c r="D3" s="89" t="s">
        <v>78</v>
      </c>
      <c r="E3" s="90"/>
    </row>
    <row r="4" spans="1:5" ht="15.6" customHeight="1" x14ac:dyDescent="0.25">
      <c r="A4" s="47" t="s">
        <v>5</v>
      </c>
      <c r="B4" s="95" t="s">
        <v>376</v>
      </c>
      <c r="C4" s="92"/>
      <c r="D4" s="93" t="s">
        <v>381</v>
      </c>
      <c r="E4" s="94"/>
    </row>
    <row r="5" spans="1:5" ht="15.6" customHeight="1" x14ac:dyDescent="0.25">
      <c r="A5" s="48">
        <f>'semaine 40'!A35+1</f>
        <v>46300</v>
      </c>
      <c r="B5" s="91" t="s">
        <v>627</v>
      </c>
      <c r="C5" s="92"/>
      <c r="D5" s="91" t="s">
        <v>651</v>
      </c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120" t="s">
        <v>712</v>
      </c>
      <c r="C8" s="88"/>
      <c r="D8" s="121" t="s">
        <v>653</v>
      </c>
      <c r="E8" s="90"/>
    </row>
    <row r="9" spans="1:5" ht="15.6" customHeight="1" x14ac:dyDescent="0.25">
      <c r="A9" s="47" t="s">
        <v>7</v>
      </c>
      <c r="B9" s="95" t="s">
        <v>652</v>
      </c>
      <c r="C9" s="92"/>
      <c r="D9" s="93" t="s">
        <v>654</v>
      </c>
      <c r="E9" s="94"/>
    </row>
    <row r="10" spans="1:5" ht="15.6" customHeight="1" x14ac:dyDescent="0.25">
      <c r="A10" s="48">
        <f>A5+1</f>
        <v>46301</v>
      </c>
      <c r="B10" s="95" t="s">
        <v>327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655</v>
      </c>
      <c r="C13" s="88"/>
      <c r="D13" s="89" t="s">
        <v>711</v>
      </c>
      <c r="E13" s="90"/>
    </row>
    <row r="14" spans="1:5" ht="15.6" customHeight="1" x14ac:dyDescent="0.25">
      <c r="A14" s="47" t="s">
        <v>9</v>
      </c>
      <c r="B14" s="95" t="s">
        <v>359</v>
      </c>
      <c r="C14" s="92"/>
      <c r="D14" s="93" t="s">
        <v>657</v>
      </c>
      <c r="E14" s="94"/>
    </row>
    <row r="15" spans="1:5" ht="15.6" customHeight="1" x14ac:dyDescent="0.25">
      <c r="A15" s="48">
        <f>A10+1</f>
        <v>46302</v>
      </c>
      <c r="B15" s="95" t="s">
        <v>656</v>
      </c>
      <c r="C15" s="92"/>
      <c r="D15" s="93" t="s">
        <v>658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659</v>
      </c>
      <c r="C18" s="88"/>
      <c r="D18" s="113" t="s">
        <v>181</v>
      </c>
      <c r="E18" s="94"/>
    </row>
    <row r="19" spans="1:5" ht="15.6" customHeight="1" x14ac:dyDescent="0.25">
      <c r="A19" s="47" t="s">
        <v>10</v>
      </c>
      <c r="B19" s="95" t="s">
        <v>371</v>
      </c>
      <c r="C19" s="92"/>
      <c r="D19" s="108" t="s">
        <v>660</v>
      </c>
      <c r="E19" s="94"/>
    </row>
    <row r="20" spans="1:5" ht="15.6" customHeight="1" x14ac:dyDescent="0.25">
      <c r="A20" s="48">
        <f>A15+1</f>
        <v>46303</v>
      </c>
      <c r="B20" s="95" t="s">
        <v>647</v>
      </c>
      <c r="C20" s="92"/>
      <c r="D20" s="93" t="s">
        <v>661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190</v>
      </c>
      <c r="C23" s="88"/>
      <c r="D23" s="89" t="s">
        <v>664</v>
      </c>
      <c r="E23" s="90"/>
    </row>
    <row r="24" spans="1:5" ht="15.6" customHeight="1" x14ac:dyDescent="0.25">
      <c r="A24" s="47" t="s">
        <v>15</v>
      </c>
      <c r="B24" s="95" t="s">
        <v>662</v>
      </c>
      <c r="C24" s="92"/>
      <c r="D24" s="93" t="s">
        <v>665</v>
      </c>
      <c r="E24" s="94"/>
    </row>
    <row r="25" spans="1:5" ht="15.6" customHeight="1" x14ac:dyDescent="0.25">
      <c r="A25" s="48">
        <f>A20+1</f>
        <v>46304</v>
      </c>
      <c r="B25" s="108" t="s">
        <v>663</v>
      </c>
      <c r="C25" s="92"/>
      <c r="D25" s="93" t="s">
        <v>140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418</v>
      </c>
      <c r="C28" s="88"/>
      <c r="D28" s="89" t="s">
        <v>277</v>
      </c>
      <c r="E28" s="94"/>
    </row>
    <row r="29" spans="1:5" ht="15.6" customHeight="1" x14ac:dyDescent="0.25">
      <c r="A29" s="47" t="s">
        <v>17</v>
      </c>
      <c r="B29" s="95" t="s">
        <v>666</v>
      </c>
      <c r="C29" s="92"/>
      <c r="D29" s="93" t="s">
        <v>309</v>
      </c>
      <c r="E29" s="94"/>
    </row>
    <row r="30" spans="1:5" ht="15.6" customHeight="1" x14ac:dyDescent="0.25">
      <c r="A30" s="48">
        <f>A25+1</f>
        <v>46305</v>
      </c>
      <c r="B30" s="95" t="s">
        <v>667</v>
      </c>
      <c r="C30" s="92"/>
      <c r="D30" s="93" t="s">
        <v>668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669</v>
      </c>
      <c r="C33" s="88"/>
      <c r="D33" s="93" t="s">
        <v>672</v>
      </c>
      <c r="E33" s="90"/>
    </row>
    <row r="34" spans="1:5" ht="15" customHeight="1" x14ac:dyDescent="0.25">
      <c r="A34" s="47" t="s">
        <v>21</v>
      </c>
      <c r="B34" s="109" t="s">
        <v>670</v>
      </c>
      <c r="C34" s="92"/>
      <c r="D34" s="108" t="s">
        <v>673</v>
      </c>
      <c r="E34" s="94"/>
    </row>
    <row r="35" spans="1:5" ht="15" customHeight="1" x14ac:dyDescent="0.25">
      <c r="A35" s="48">
        <f>A30+1</f>
        <v>46306</v>
      </c>
      <c r="B35" s="95" t="s">
        <v>671</v>
      </c>
      <c r="C35" s="92"/>
      <c r="D35" s="93" t="s">
        <v>33</v>
      </c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30D0-9B8B-477A-8824-06AEE8B328DB}">
  <sheetPr codeName="Feuil43">
    <tabColor rgb="FF644300"/>
    <pageSetUpPr fitToPage="1"/>
  </sheetPr>
  <dimension ref="A1:E38"/>
  <sheetViews>
    <sheetView topLeftCell="A3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46307</v>
      </c>
      <c r="D1" s="39" t="s">
        <v>1</v>
      </c>
      <c r="E1" s="40">
        <f>A35</f>
        <v>46313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303</v>
      </c>
      <c r="E3" s="90"/>
    </row>
    <row r="4" spans="1:5" ht="15.6" customHeight="1" x14ac:dyDescent="0.25">
      <c r="A4" s="47" t="s">
        <v>5</v>
      </c>
      <c r="B4" s="95" t="s">
        <v>674</v>
      </c>
      <c r="C4" s="92"/>
      <c r="D4" s="93" t="s">
        <v>683</v>
      </c>
      <c r="E4" s="94"/>
    </row>
    <row r="5" spans="1:5" ht="15.6" customHeight="1" x14ac:dyDescent="0.25">
      <c r="A5" s="48">
        <f>'semaine 41'!A35+1</f>
        <v>46307</v>
      </c>
      <c r="B5" s="91" t="s">
        <v>675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676</v>
      </c>
      <c r="C8" s="88"/>
      <c r="D8" s="124" t="s">
        <v>684</v>
      </c>
      <c r="E8" s="125"/>
    </row>
    <row r="9" spans="1:5" ht="15.6" customHeight="1" x14ac:dyDescent="0.25">
      <c r="A9" s="47" t="s">
        <v>7</v>
      </c>
      <c r="B9" s="95" t="s">
        <v>677</v>
      </c>
      <c r="C9" s="92"/>
      <c r="D9" s="93" t="s">
        <v>419</v>
      </c>
      <c r="E9" s="94"/>
    </row>
    <row r="10" spans="1:5" ht="15.6" customHeight="1" x14ac:dyDescent="0.25">
      <c r="A10" s="48">
        <f>A5+1</f>
        <v>46308</v>
      </c>
      <c r="B10" s="95" t="s">
        <v>678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709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78</v>
      </c>
      <c r="C13" s="88"/>
      <c r="D13" s="89" t="s">
        <v>82</v>
      </c>
      <c r="E13" s="90"/>
    </row>
    <row r="14" spans="1:5" ht="15.6" customHeight="1" x14ac:dyDescent="0.25">
      <c r="A14" s="47" t="s">
        <v>9</v>
      </c>
      <c r="B14" s="95" t="s">
        <v>309</v>
      </c>
      <c r="C14" s="92"/>
      <c r="D14" s="93" t="s">
        <v>685</v>
      </c>
      <c r="E14" s="94"/>
    </row>
    <row r="15" spans="1:5" ht="15.6" customHeight="1" x14ac:dyDescent="0.25">
      <c r="A15" s="48">
        <f>A10+1</f>
        <v>46309</v>
      </c>
      <c r="B15" s="95" t="s">
        <v>679</v>
      </c>
      <c r="C15" s="92"/>
      <c r="D15" s="93" t="s">
        <v>188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680</v>
      </c>
      <c r="C18" s="88"/>
      <c r="D18" s="113" t="s">
        <v>672</v>
      </c>
      <c r="E18" s="94"/>
    </row>
    <row r="19" spans="1:5" ht="15.6" customHeight="1" x14ac:dyDescent="0.25">
      <c r="A19" s="47" t="s">
        <v>10</v>
      </c>
      <c r="B19" s="95" t="s">
        <v>681</v>
      </c>
      <c r="C19" s="92"/>
      <c r="D19" s="108" t="s">
        <v>359</v>
      </c>
      <c r="E19" s="94"/>
    </row>
    <row r="20" spans="1:5" ht="15.6" customHeight="1" x14ac:dyDescent="0.25">
      <c r="A20" s="48">
        <f>A15+1</f>
        <v>46310</v>
      </c>
      <c r="B20" s="122" t="s">
        <v>682</v>
      </c>
      <c r="C20" s="123"/>
      <c r="D20" s="93" t="s">
        <v>157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360</v>
      </c>
      <c r="C23" s="88"/>
      <c r="D23" s="89" t="s">
        <v>181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687</v>
      </c>
      <c r="E24" s="94"/>
    </row>
    <row r="25" spans="1:5" ht="15.6" customHeight="1" x14ac:dyDescent="0.25">
      <c r="A25" s="48">
        <f>A20+1</f>
        <v>46311</v>
      </c>
      <c r="B25" s="108" t="s">
        <v>686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688</v>
      </c>
      <c r="C28" s="88"/>
      <c r="D28" s="89" t="s">
        <v>689</v>
      </c>
      <c r="E28" s="94"/>
    </row>
    <row r="29" spans="1:5" ht="15.6" customHeight="1" x14ac:dyDescent="0.25">
      <c r="A29" s="47" t="s">
        <v>17</v>
      </c>
      <c r="B29" s="95" t="s">
        <v>354</v>
      </c>
      <c r="C29" s="92"/>
      <c r="D29" s="93" t="s">
        <v>690</v>
      </c>
      <c r="E29" s="94"/>
    </row>
    <row r="30" spans="1:5" ht="15.6" customHeight="1" x14ac:dyDescent="0.25">
      <c r="A30" s="48">
        <f>A25+1</f>
        <v>46312</v>
      </c>
      <c r="B30" s="95" t="s">
        <v>77</v>
      </c>
      <c r="C30" s="92"/>
      <c r="D30" s="93" t="s">
        <v>691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692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347</v>
      </c>
      <c r="C34" s="92"/>
      <c r="D34" s="108" t="s">
        <v>694</v>
      </c>
      <c r="E34" s="94"/>
    </row>
    <row r="35" spans="1:5" ht="15" customHeight="1" x14ac:dyDescent="0.25">
      <c r="A35" s="48">
        <f>A30+1</f>
        <v>46313</v>
      </c>
      <c r="B35" s="95" t="s">
        <v>693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mergeCells count="2">
    <mergeCell ref="B20:C20"/>
    <mergeCell ref="D8:E8"/>
  </mergeCells>
  <pageMargins left="0.7" right="0.7" top="0.75" bottom="0.75" header="0.3" footer="0.3"/>
  <pageSetup paperSize="9" scale="8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F7CD-C42A-40E2-BFEB-524A6CBEA9F4}">
  <sheetPr codeName="Feuil44">
    <tabColor rgb="FF644300"/>
    <pageSetUpPr fitToPage="1"/>
  </sheetPr>
  <dimension ref="A1:E38"/>
  <sheetViews>
    <sheetView zoomScale="85" zoomScaleNormal="85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46314</v>
      </c>
      <c r="D1" s="39" t="s">
        <v>1</v>
      </c>
      <c r="E1" s="40">
        <f>A35</f>
        <v>46320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695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95" t="s">
        <v>350</v>
      </c>
      <c r="C4" s="92" t="s">
        <v>6</v>
      </c>
      <c r="D4" s="93" t="s">
        <v>309</v>
      </c>
      <c r="E4" s="94"/>
    </row>
    <row r="5" spans="1:5" ht="15.6" customHeight="1" x14ac:dyDescent="0.25">
      <c r="A5" s="48">
        <f>'semaine 42'!A35+1</f>
        <v>46314</v>
      </c>
      <c r="B5" s="91" t="s">
        <v>696</v>
      </c>
      <c r="C5" s="92"/>
      <c r="D5" s="91" t="s">
        <v>82</v>
      </c>
      <c r="E5" s="94"/>
    </row>
    <row r="6" spans="1:5" ht="15.6" customHeight="1" x14ac:dyDescent="0.25">
      <c r="A6" s="48"/>
      <c r="B6" s="86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697</v>
      </c>
      <c r="C8" s="88"/>
      <c r="D8" s="88" t="s">
        <v>78</v>
      </c>
      <c r="E8" s="101"/>
    </row>
    <row r="9" spans="1:5" ht="15.6" customHeight="1" x14ac:dyDescent="0.25">
      <c r="A9" s="47" t="s">
        <v>7</v>
      </c>
      <c r="B9" s="95" t="s">
        <v>698</v>
      </c>
      <c r="C9" s="92" t="s">
        <v>6</v>
      </c>
      <c r="D9" s="93" t="s">
        <v>648</v>
      </c>
      <c r="E9" s="94"/>
    </row>
    <row r="10" spans="1:5" ht="15.6" customHeight="1" x14ac:dyDescent="0.25">
      <c r="A10" s="48">
        <f>A5+1</f>
        <v>46315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86</v>
      </c>
      <c r="E12" s="94"/>
    </row>
    <row r="13" spans="1:5" ht="15.6" customHeight="1" x14ac:dyDescent="0.25">
      <c r="A13" s="50"/>
      <c r="B13" s="100" t="s">
        <v>76</v>
      </c>
      <c r="C13" s="88"/>
      <c r="D13" s="89" t="s">
        <v>360</v>
      </c>
      <c r="E13" s="90"/>
    </row>
    <row r="14" spans="1:5" ht="15.6" customHeight="1" x14ac:dyDescent="0.25">
      <c r="A14" s="47" t="s">
        <v>9</v>
      </c>
      <c r="B14" s="95" t="s">
        <v>699</v>
      </c>
      <c r="C14" s="92" t="s">
        <v>6</v>
      </c>
      <c r="D14" s="93" t="s">
        <v>701</v>
      </c>
      <c r="E14" s="94"/>
    </row>
    <row r="15" spans="1:5" ht="15.6" customHeight="1" x14ac:dyDescent="0.25">
      <c r="A15" s="48">
        <f>A10+1</f>
        <v>46316</v>
      </c>
      <c r="B15" s="95" t="s">
        <v>700</v>
      </c>
      <c r="C15" s="92"/>
      <c r="D15" s="93" t="s">
        <v>702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86</v>
      </c>
      <c r="E17" s="98"/>
    </row>
    <row r="18" spans="1:5" ht="15.6" customHeight="1" x14ac:dyDescent="0.25">
      <c r="A18" s="50"/>
      <c r="B18" s="97" t="s">
        <v>418</v>
      </c>
      <c r="C18" s="88"/>
      <c r="D18" s="127" t="s">
        <v>76</v>
      </c>
      <c r="E18" s="94"/>
    </row>
    <row r="19" spans="1:5" ht="15.6" customHeight="1" x14ac:dyDescent="0.25">
      <c r="A19" s="47" t="s">
        <v>10</v>
      </c>
      <c r="B19" s="95" t="s">
        <v>274</v>
      </c>
      <c r="C19" s="92" t="s">
        <v>6</v>
      </c>
      <c r="D19" s="108" t="s">
        <v>359</v>
      </c>
      <c r="E19" s="94"/>
    </row>
    <row r="20" spans="1:5" ht="15.6" customHeight="1" x14ac:dyDescent="0.25">
      <c r="A20" s="48">
        <f>A15+1</f>
        <v>46317</v>
      </c>
      <c r="B20" s="92" t="s">
        <v>82</v>
      </c>
      <c r="C20" s="126"/>
      <c r="D20" s="93" t="s">
        <v>703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86</v>
      </c>
      <c r="E22" s="94"/>
    </row>
    <row r="23" spans="1:5" ht="15.6" customHeight="1" x14ac:dyDescent="0.25">
      <c r="A23" s="50"/>
      <c r="B23" s="89" t="s">
        <v>33</v>
      </c>
      <c r="C23" s="88"/>
      <c r="D23" s="89" t="s">
        <v>672</v>
      </c>
      <c r="E23" s="90"/>
    </row>
    <row r="24" spans="1:5" ht="15.6" customHeight="1" x14ac:dyDescent="0.25">
      <c r="A24" s="47" t="s">
        <v>15</v>
      </c>
      <c r="B24" s="95" t="s">
        <v>704</v>
      </c>
      <c r="C24" s="92" t="s">
        <v>79</v>
      </c>
      <c r="D24" s="93" t="s">
        <v>705</v>
      </c>
      <c r="E24" s="94"/>
    </row>
    <row r="25" spans="1:5" ht="15.6" customHeight="1" x14ac:dyDescent="0.25">
      <c r="A25" s="48">
        <f>A20+1</f>
        <v>46318</v>
      </c>
      <c r="B25" s="108" t="s">
        <v>233</v>
      </c>
      <c r="C25" s="92"/>
      <c r="D25" s="93" t="s">
        <v>706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86</v>
      </c>
      <c r="E27" s="98"/>
    </row>
    <row r="28" spans="1:5" ht="15.6" customHeight="1" x14ac:dyDescent="0.25">
      <c r="A28" s="50"/>
      <c r="B28" s="97" t="s">
        <v>334</v>
      </c>
      <c r="C28" s="88"/>
      <c r="D28" s="89" t="s">
        <v>707</v>
      </c>
      <c r="E28" s="94"/>
    </row>
    <row r="29" spans="1:5" ht="15.6" customHeight="1" x14ac:dyDescent="0.25">
      <c r="A29" s="47" t="s">
        <v>17</v>
      </c>
      <c r="B29" s="95" t="s">
        <v>628</v>
      </c>
      <c r="C29" s="92" t="s">
        <v>6</v>
      </c>
      <c r="D29" s="93" t="s">
        <v>363</v>
      </c>
      <c r="E29" s="94"/>
    </row>
    <row r="30" spans="1:5" ht="15.6" customHeight="1" x14ac:dyDescent="0.25">
      <c r="A30" s="48">
        <f>A25+1</f>
        <v>46319</v>
      </c>
      <c r="B30" s="95" t="s">
        <v>627</v>
      </c>
      <c r="C30" s="92"/>
      <c r="D30" s="93" t="s">
        <v>71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688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415</v>
      </c>
      <c r="C34" s="92" t="s">
        <v>6</v>
      </c>
      <c r="D34" s="108" t="s">
        <v>708</v>
      </c>
      <c r="E34" s="94"/>
    </row>
    <row r="35" spans="1:5" ht="15" customHeight="1" x14ac:dyDescent="0.25">
      <c r="A35" s="48">
        <f>A30+1</f>
        <v>46320</v>
      </c>
      <c r="B35" s="95" t="s">
        <v>208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764E-AD84-4E23-BFE0-294CB38634F1}">
  <sheetPr codeName="Feuil45">
    <tabColor rgb="FF644300"/>
    <pageSetUpPr fitToPage="1"/>
  </sheetPr>
  <dimension ref="A1:E38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46321</v>
      </c>
      <c r="D1" s="39" t="s">
        <v>1</v>
      </c>
      <c r="E1" s="40">
        <f>A35</f>
        <v>46327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117</v>
      </c>
      <c r="C3" s="88"/>
      <c r="D3" s="89" t="s">
        <v>190</v>
      </c>
      <c r="E3" s="90"/>
    </row>
    <row r="4" spans="1:5" ht="15.6" customHeight="1" x14ac:dyDescent="0.25">
      <c r="A4" s="47" t="s">
        <v>5</v>
      </c>
      <c r="B4" s="95" t="s">
        <v>628</v>
      </c>
      <c r="C4" s="92" t="s">
        <v>6</v>
      </c>
      <c r="D4" s="93" t="s">
        <v>177</v>
      </c>
      <c r="E4" s="94" t="s">
        <v>6</v>
      </c>
    </row>
    <row r="5" spans="1:5" ht="15.6" customHeight="1" x14ac:dyDescent="0.25">
      <c r="A5" s="48">
        <f>'semaine 43'!A35+1</f>
        <v>46321</v>
      </c>
      <c r="B5" s="91" t="s">
        <v>140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78</v>
      </c>
      <c r="C8" s="88"/>
      <c r="D8" s="89" t="s">
        <v>176</v>
      </c>
      <c r="E8" s="90"/>
    </row>
    <row r="9" spans="1:5" ht="15.6" customHeight="1" x14ac:dyDescent="0.25">
      <c r="A9" s="47" t="s">
        <v>7</v>
      </c>
      <c r="B9" s="95" t="s">
        <v>333</v>
      </c>
      <c r="C9" s="92"/>
      <c r="D9" s="93" t="s">
        <v>484</v>
      </c>
      <c r="E9" s="94" t="s">
        <v>6</v>
      </c>
    </row>
    <row r="10" spans="1:5" ht="15.6" customHeight="1" x14ac:dyDescent="0.25">
      <c r="A10" s="48">
        <f>A5+1</f>
        <v>46322</v>
      </c>
      <c r="B10" s="95" t="s">
        <v>629</v>
      </c>
      <c r="C10" s="92"/>
      <c r="D10" s="93" t="s">
        <v>634</v>
      </c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630</v>
      </c>
      <c r="C13" s="88"/>
      <c r="D13" s="89" t="s">
        <v>635</v>
      </c>
      <c r="E13" s="90"/>
    </row>
    <row r="14" spans="1:5" ht="15.6" customHeight="1" x14ac:dyDescent="0.25">
      <c r="A14" s="47" t="s">
        <v>9</v>
      </c>
      <c r="B14" s="95" t="s">
        <v>347</v>
      </c>
      <c r="C14" s="92"/>
      <c r="D14" s="93" t="s">
        <v>636</v>
      </c>
      <c r="E14" s="94"/>
    </row>
    <row r="15" spans="1:5" ht="15.6" customHeight="1" x14ac:dyDescent="0.25">
      <c r="A15" s="48">
        <f>A10+1</f>
        <v>46323</v>
      </c>
      <c r="B15" s="95" t="s">
        <v>327</v>
      </c>
      <c r="C15" s="92"/>
      <c r="D15" s="93"/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631</v>
      </c>
      <c r="C18" s="88"/>
      <c r="D18" s="113" t="s">
        <v>637</v>
      </c>
      <c r="E18" s="94"/>
    </row>
    <row r="19" spans="1:5" ht="15.6" customHeight="1" x14ac:dyDescent="0.25">
      <c r="A19" s="47" t="s">
        <v>10</v>
      </c>
      <c r="B19" s="95" t="s">
        <v>632</v>
      </c>
      <c r="C19" s="92"/>
      <c r="D19" s="108" t="s">
        <v>638</v>
      </c>
      <c r="E19" s="94"/>
    </row>
    <row r="20" spans="1:5" ht="15.6" customHeight="1" x14ac:dyDescent="0.25">
      <c r="A20" s="48">
        <f>A15+1</f>
        <v>46324</v>
      </c>
      <c r="B20" s="95" t="s">
        <v>633</v>
      </c>
      <c r="C20" s="92"/>
      <c r="D20" s="93" t="s">
        <v>77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640</v>
      </c>
      <c r="C23" s="88"/>
      <c r="D23" s="89" t="s">
        <v>645</v>
      </c>
      <c r="E23" s="90"/>
    </row>
    <row r="24" spans="1:5" ht="15.6" customHeight="1" x14ac:dyDescent="0.25">
      <c r="A24" s="47" t="s">
        <v>15</v>
      </c>
      <c r="B24" s="95" t="s">
        <v>639</v>
      </c>
      <c r="C24" s="92"/>
      <c r="D24" s="93" t="s">
        <v>646</v>
      </c>
      <c r="E24" s="94"/>
    </row>
    <row r="25" spans="1:5" ht="15.6" customHeight="1" x14ac:dyDescent="0.25">
      <c r="A25" s="48">
        <f>A20+1</f>
        <v>46325</v>
      </c>
      <c r="B25" s="108" t="s">
        <v>710</v>
      </c>
      <c r="C25" s="92"/>
      <c r="D25" s="93" t="s">
        <v>647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641</v>
      </c>
      <c r="C28" s="88"/>
      <c r="D28" s="89" t="s">
        <v>78</v>
      </c>
      <c r="E28" s="94"/>
    </row>
    <row r="29" spans="1:5" ht="15.6" customHeight="1" x14ac:dyDescent="0.25">
      <c r="A29" s="47" t="s">
        <v>17</v>
      </c>
      <c r="B29" s="95" t="s">
        <v>642</v>
      </c>
      <c r="C29" s="92"/>
      <c r="D29" s="93" t="s">
        <v>648</v>
      </c>
      <c r="E29" s="94"/>
    </row>
    <row r="30" spans="1:5" ht="15.6" customHeight="1" x14ac:dyDescent="0.25">
      <c r="A30" s="48">
        <f>A25+1</f>
        <v>46326</v>
      </c>
      <c r="B30" s="95" t="s">
        <v>82</v>
      </c>
      <c r="C30" s="92"/>
      <c r="D30" s="93"/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643</v>
      </c>
      <c r="C33" s="88"/>
      <c r="D33" s="93" t="s">
        <v>649</v>
      </c>
      <c r="E33" s="90"/>
    </row>
    <row r="34" spans="1:5" ht="15" customHeight="1" x14ac:dyDescent="0.25">
      <c r="A34" s="47" t="s">
        <v>21</v>
      </c>
      <c r="B34" s="109" t="s">
        <v>644</v>
      </c>
      <c r="C34" s="92"/>
      <c r="D34" s="108" t="s">
        <v>650</v>
      </c>
      <c r="E34" s="94"/>
    </row>
    <row r="35" spans="1:5" ht="15" customHeight="1" x14ac:dyDescent="0.25">
      <c r="A35" s="48">
        <f>A30+1</f>
        <v>46327</v>
      </c>
      <c r="B35" s="95" t="s">
        <v>114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C374-E075-4FEC-A697-CA7023D79A2B}">
  <sheetPr codeName="Feuil46">
    <tabColor rgb="FF644300"/>
  </sheetPr>
  <dimension ref="A1:E38"/>
  <sheetViews>
    <sheetView zoomScale="85" zoomScaleNormal="85" workbookViewId="0">
      <selection activeCell="E45" sqref="E4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46328</v>
      </c>
      <c r="D1" s="39" t="s">
        <v>1</v>
      </c>
      <c r="E1" s="40">
        <f>A35</f>
        <v>46334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100</v>
      </c>
      <c r="C3" s="16"/>
      <c r="D3" s="54" t="s">
        <v>190</v>
      </c>
      <c r="E3" s="11"/>
    </row>
    <row r="4" spans="1:5" ht="15.6" customHeight="1" x14ac:dyDescent="0.25">
      <c r="A4" s="47" t="s">
        <v>5</v>
      </c>
      <c r="B4" s="15" t="s">
        <v>191</v>
      </c>
      <c r="C4" s="52"/>
      <c r="D4" s="55" t="s">
        <v>192</v>
      </c>
      <c r="E4" s="12" t="s">
        <v>6</v>
      </c>
    </row>
    <row r="5" spans="1:5" ht="15.6" customHeight="1" x14ac:dyDescent="0.25">
      <c r="A5" s="48">
        <f>'semaine 44'!A35+1</f>
        <v>46328</v>
      </c>
      <c r="B5" s="57" t="s">
        <v>193</v>
      </c>
      <c r="C5" s="52"/>
      <c r="D5" s="55" t="s">
        <v>194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195</v>
      </c>
      <c r="C9" s="52" t="s">
        <v>6</v>
      </c>
      <c r="D9" s="55" t="s">
        <v>409</v>
      </c>
      <c r="E9" s="12" t="s">
        <v>6</v>
      </c>
    </row>
    <row r="10" spans="1:5" ht="15.6" customHeight="1" x14ac:dyDescent="0.25">
      <c r="A10" s="48">
        <f>A5+1</f>
        <v>46329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141</v>
      </c>
      <c r="C13" s="16"/>
      <c r="D13" s="54" t="s">
        <v>176</v>
      </c>
      <c r="E13" s="11"/>
    </row>
    <row r="14" spans="1:5" ht="15.6" customHeight="1" x14ac:dyDescent="0.25">
      <c r="A14" s="47" t="s">
        <v>9</v>
      </c>
      <c r="B14" s="15" t="s">
        <v>105</v>
      </c>
      <c r="C14" s="52" t="s">
        <v>6</v>
      </c>
      <c r="D14" s="55" t="s">
        <v>106</v>
      </c>
      <c r="E14" s="12" t="s">
        <v>6</v>
      </c>
    </row>
    <row r="15" spans="1:5" ht="15.6" customHeight="1" x14ac:dyDescent="0.25">
      <c r="A15" s="48">
        <f>A10+1</f>
        <v>46330</v>
      </c>
      <c r="B15" s="15" t="s">
        <v>143</v>
      </c>
      <c r="C15" s="52"/>
      <c r="D15" s="55" t="s">
        <v>108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109</v>
      </c>
      <c r="C18" s="16"/>
      <c r="D18" s="54" t="s">
        <v>110</v>
      </c>
      <c r="E18" s="12"/>
    </row>
    <row r="19" spans="1:5" ht="15.6" customHeight="1" x14ac:dyDescent="0.25">
      <c r="A19" s="47" t="s">
        <v>10</v>
      </c>
      <c r="B19" s="15" t="s">
        <v>197</v>
      </c>
      <c r="C19" s="52" t="s">
        <v>6</v>
      </c>
      <c r="D19" s="55" t="s">
        <v>198</v>
      </c>
      <c r="E19" s="12" t="s">
        <v>6</v>
      </c>
    </row>
    <row r="20" spans="1:5" ht="15.6" customHeight="1" x14ac:dyDescent="0.25">
      <c r="A20" s="48">
        <f>A15+1</f>
        <v>46331</v>
      </c>
      <c r="B20" s="15"/>
      <c r="C20" s="52"/>
      <c r="D20" s="55" t="s">
        <v>113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199</v>
      </c>
      <c r="C23" s="16"/>
      <c r="D23" s="54" t="s">
        <v>235</v>
      </c>
      <c r="E23" s="11"/>
    </row>
    <row r="24" spans="1:5" ht="15.6" customHeight="1" x14ac:dyDescent="0.25">
      <c r="A24" s="47" t="s">
        <v>15</v>
      </c>
      <c r="B24" s="15" t="s">
        <v>200</v>
      </c>
      <c r="C24" s="52"/>
      <c r="D24" s="55" t="s">
        <v>65</v>
      </c>
      <c r="E24" s="12" t="s">
        <v>6</v>
      </c>
    </row>
    <row r="25" spans="1:5" ht="15.6" customHeight="1" x14ac:dyDescent="0.25">
      <c r="A25" s="48">
        <f>A20+1</f>
        <v>46332</v>
      </c>
      <c r="B25" s="15" t="s">
        <v>201</v>
      </c>
      <c r="C25" s="52"/>
      <c r="D25" s="55" t="s">
        <v>410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89</v>
      </c>
      <c r="C29" s="52" t="s">
        <v>6</v>
      </c>
      <c r="D29" s="55" t="s">
        <v>202</v>
      </c>
      <c r="E29" s="12" t="s">
        <v>6</v>
      </c>
    </row>
    <row r="30" spans="1:5" ht="15.6" customHeight="1" x14ac:dyDescent="0.25">
      <c r="A30" s="48">
        <f>A25+1</f>
        <v>46333</v>
      </c>
      <c r="B30" s="15" t="s">
        <v>203</v>
      </c>
      <c r="C30" s="52"/>
      <c r="D30" s="55" t="s">
        <v>157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76</v>
      </c>
      <c r="E33" s="11"/>
    </row>
    <row r="34" spans="1:5" ht="15" customHeight="1" x14ac:dyDescent="0.25">
      <c r="A34" s="47" t="s">
        <v>21</v>
      </c>
      <c r="B34" s="15" t="s">
        <v>204</v>
      </c>
      <c r="C34" s="52" t="s">
        <v>6</v>
      </c>
      <c r="D34" s="55" t="s">
        <v>97</v>
      </c>
      <c r="E34" s="12" t="s">
        <v>6</v>
      </c>
    </row>
    <row r="35" spans="1:5" ht="15" customHeight="1" x14ac:dyDescent="0.25">
      <c r="A35" s="48">
        <f>A30+1</f>
        <v>46334</v>
      </c>
      <c r="B35" s="15" t="s">
        <v>101</v>
      </c>
      <c r="C35" s="52"/>
      <c r="D35" s="55" t="s">
        <v>205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23622047244094488" right="0.23622047244094488" top="0.19685039370078741" bottom="0.19685039370078741" header="0.31496062992125984" footer="0.31496062992125984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EBAA-970F-483E-BBF4-8DF2BFC53FCA}">
  <sheetPr codeName="Feuil47">
    <tabColor rgb="FF644300"/>
  </sheetPr>
  <dimension ref="A1:E38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46335</v>
      </c>
      <c r="D1" s="39" t="s">
        <v>1</v>
      </c>
      <c r="E1" s="40">
        <f>A35</f>
        <v>46341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303</v>
      </c>
      <c r="E3" s="90"/>
    </row>
    <row r="4" spans="1:5" ht="15.6" customHeight="1" x14ac:dyDescent="0.25">
      <c r="A4" s="47" t="s">
        <v>5</v>
      </c>
      <c r="B4" s="95" t="s">
        <v>674</v>
      </c>
      <c r="C4" s="92"/>
      <c r="D4" s="93" t="s">
        <v>683</v>
      </c>
      <c r="E4" s="94"/>
    </row>
    <row r="5" spans="1:5" ht="15.6" customHeight="1" x14ac:dyDescent="0.25">
      <c r="A5" s="48">
        <f>'semaine 45'!A35+1</f>
        <v>46335</v>
      </c>
      <c r="B5" s="91" t="s">
        <v>675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676</v>
      </c>
      <c r="C8" s="88"/>
      <c r="D8" s="124" t="s">
        <v>684</v>
      </c>
      <c r="E8" s="125"/>
    </row>
    <row r="9" spans="1:5" ht="15.6" customHeight="1" x14ac:dyDescent="0.25">
      <c r="A9" s="47" t="s">
        <v>7</v>
      </c>
      <c r="B9" s="95" t="s">
        <v>677</v>
      </c>
      <c r="C9" s="92"/>
      <c r="D9" s="93" t="s">
        <v>419</v>
      </c>
      <c r="E9" s="94"/>
    </row>
    <row r="10" spans="1:5" ht="15.6" customHeight="1" x14ac:dyDescent="0.25">
      <c r="A10" s="48">
        <f>A5+1</f>
        <v>46336</v>
      </c>
      <c r="B10" s="95" t="s">
        <v>678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709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78</v>
      </c>
      <c r="C13" s="88"/>
      <c r="D13" s="89" t="s">
        <v>82</v>
      </c>
      <c r="E13" s="90"/>
    </row>
    <row r="14" spans="1:5" ht="15.6" customHeight="1" x14ac:dyDescent="0.25">
      <c r="A14" s="47" t="s">
        <v>9</v>
      </c>
      <c r="B14" s="95" t="s">
        <v>309</v>
      </c>
      <c r="C14" s="92"/>
      <c r="D14" s="93" t="s">
        <v>685</v>
      </c>
      <c r="E14" s="94"/>
    </row>
    <row r="15" spans="1:5" ht="15.6" customHeight="1" x14ac:dyDescent="0.25">
      <c r="A15" s="48">
        <f>A10+1</f>
        <v>46337</v>
      </c>
      <c r="B15" s="95" t="s">
        <v>679</v>
      </c>
      <c r="C15" s="92"/>
      <c r="D15" s="93" t="s">
        <v>188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680</v>
      </c>
      <c r="C18" s="88"/>
      <c r="D18" s="113" t="s">
        <v>672</v>
      </c>
      <c r="E18" s="94"/>
    </row>
    <row r="19" spans="1:5" ht="15.6" customHeight="1" x14ac:dyDescent="0.25">
      <c r="A19" s="47" t="s">
        <v>10</v>
      </c>
      <c r="B19" s="95" t="s">
        <v>681</v>
      </c>
      <c r="C19" s="92"/>
      <c r="D19" s="108" t="s">
        <v>359</v>
      </c>
      <c r="E19" s="94"/>
    </row>
    <row r="20" spans="1:5" ht="15.6" customHeight="1" x14ac:dyDescent="0.25">
      <c r="A20" s="48">
        <f>A15+1</f>
        <v>46338</v>
      </c>
      <c r="B20" s="122" t="s">
        <v>682</v>
      </c>
      <c r="C20" s="123"/>
      <c r="D20" s="93" t="s">
        <v>157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360</v>
      </c>
      <c r="C23" s="88"/>
      <c r="D23" s="89" t="s">
        <v>181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687</v>
      </c>
      <c r="E24" s="94"/>
    </row>
    <row r="25" spans="1:5" ht="15.6" customHeight="1" x14ac:dyDescent="0.25">
      <c r="A25" s="48">
        <f>A20+1</f>
        <v>46339</v>
      </c>
      <c r="B25" s="108" t="s">
        <v>686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688</v>
      </c>
      <c r="C28" s="88"/>
      <c r="D28" s="89" t="s">
        <v>689</v>
      </c>
      <c r="E28" s="94"/>
    </row>
    <row r="29" spans="1:5" ht="15.6" customHeight="1" x14ac:dyDescent="0.25">
      <c r="A29" s="47" t="s">
        <v>17</v>
      </c>
      <c r="B29" s="95" t="s">
        <v>354</v>
      </c>
      <c r="C29" s="92"/>
      <c r="D29" s="93" t="s">
        <v>690</v>
      </c>
      <c r="E29" s="94"/>
    </row>
    <row r="30" spans="1:5" ht="15.6" customHeight="1" x14ac:dyDescent="0.25">
      <c r="A30" s="48">
        <f>A25+1</f>
        <v>46340</v>
      </c>
      <c r="B30" s="95" t="s">
        <v>77</v>
      </c>
      <c r="C30" s="92"/>
      <c r="D30" s="93" t="s">
        <v>691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692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347</v>
      </c>
      <c r="C34" s="92"/>
      <c r="D34" s="108" t="s">
        <v>694</v>
      </c>
      <c r="E34" s="94"/>
    </row>
    <row r="35" spans="1:5" ht="15" customHeight="1" x14ac:dyDescent="0.25">
      <c r="A35" s="48">
        <f>A30+1</f>
        <v>46341</v>
      </c>
      <c r="B35" s="95" t="s">
        <v>693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mergeCells count="2">
    <mergeCell ref="D8:E8"/>
    <mergeCell ref="B20:C20"/>
  </mergeCells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DDCD-D549-42E7-97B0-0D5F36D80239}">
  <sheetPr codeName="Feuil48">
    <tabColor rgb="FF644300"/>
    <pageSetUpPr fitToPage="1"/>
  </sheetPr>
  <dimension ref="A1:E38"/>
  <sheetViews>
    <sheetView tabSelected="1" zoomScale="70" zoomScaleNormal="7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46342</v>
      </c>
      <c r="D1" s="39" t="s">
        <v>1</v>
      </c>
      <c r="E1" s="40">
        <f>A35</f>
        <v>46348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695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95" t="s">
        <v>350</v>
      </c>
      <c r="C4" s="92" t="s">
        <v>6</v>
      </c>
      <c r="D4" s="93" t="s">
        <v>309</v>
      </c>
      <c r="E4" s="94"/>
    </row>
    <row r="5" spans="1:5" ht="15.6" customHeight="1" x14ac:dyDescent="0.25">
      <c r="A5" s="48">
        <f>'semaine 46'!A35+1</f>
        <v>46342</v>
      </c>
      <c r="B5" s="91" t="s">
        <v>696</v>
      </c>
      <c r="C5" s="92"/>
      <c r="D5" s="91" t="s">
        <v>82</v>
      </c>
      <c r="E5" s="94"/>
    </row>
    <row r="6" spans="1:5" ht="15.6" customHeight="1" x14ac:dyDescent="0.25">
      <c r="A6" s="48"/>
      <c r="B6" s="86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697</v>
      </c>
      <c r="C8" s="88"/>
      <c r="D8" s="88" t="s">
        <v>78</v>
      </c>
      <c r="E8" s="101"/>
    </row>
    <row r="9" spans="1:5" ht="15.6" customHeight="1" x14ac:dyDescent="0.25">
      <c r="A9" s="47" t="s">
        <v>7</v>
      </c>
      <c r="B9" s="95" t="s">
        <v>698</v>
      </c>
      <c r="C9" s="92" t="s">
        <v>6</v>
      </c>
      <c r="D9" s="93" t="s">
        <v>648</v>
      </c>
      <c r="E9" s="94"/>
    </row>
    <row r="10" spans="1:5" ht="15.6" customHeight="1" x14ac:dyDescent="0.25">
      <c r="A10" s="48">
        <f>A5+1</f>
        <v>46343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86</v>
      </c>
      <c r="E12" s="94"/>
    </row>
    <row r="13" spans="1:5" ht="15.6" customHeight="1" x14ac:dyDescent="0.25">
      <c r="A13" s="50"/>
      <c r="B13" s="100" t="s">
        <v>76</v>
      </c>
      <c r="C13" s="88"/>
      <c r="D13" s="89" t="s">
        <v>360</v>
      </c>
      <c r="E13" s="90"/>
    </row>
    <row r="14" spans="1:5" ht="15.6" customHeight="1" x14ac:dyDescent="0.25">
      <c r="A14" s="47" t="s">
        <v>9</v>
      </c>
      <c r="B14" s="95" t="s">
        <v>699</v>
      </c>
      <c r="C14" s="92" t="s">
        <v>6</v>
      </c>
      <c r="D14" s="93" t="s">
        <v>701</v>
      </c>
      <c r="E14" s="94"/>
    </row>
    <row r="15" spans="1:5" ht="15.6" customHeight="1" x14ac:dyDescent="0.25">
      <c r="A15" s="48">
        <f>A10+1</f>
        <v>46344</v>
      </c>
      <c r="B15" s="95" t="s">
        <v>700</v>
      </c>
      <c r="C15" s="92"/>
      <c r="D15" s="93" t="s">
        <v>702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86</v>
      </c>
      <c r="E17" s="98"/>
    </row>
    <row r="18" spans="1:5" ht="15.6" customHeight="1" x14ac:dyDescent="0.25">
      <c r="A18" s="50"/>
      <c r="B18" s="97" t="s">
        <v>418</v>
      </c>
      <c r="C18" s="88"/>
      <c r="D18" s="127" t="s">
        <v>76</v>
      </c>
      <c r="E18" s="94"/>
    </row>
    <row r="19" spans="1:5" ht="15.6" customHeight="1" x14ac:dyDescent="0.25">
      <c r="A19" s="47" t="s">
        <v>10</v>
      </c>
      <c r="B19" s="95" t="s">
        <v>274</v>
      </c>
      <c r="C19" s="92" t="s">
        <v>6</v>
      </c>
      <c r="D19" s="108" t="s">
        <v>359</v>
      </c>
      <c r="E19" s="94"/>
    </row>
    <row r="20" spans="1:5" ht="15.6" customHeight="1" x14ac:dyDescent="0.25">
      <c r="A20" s="48">
        <f>A15+1</f>
        <v>46345</v>
      </c>
      <c r="B20" s="92" t="s">
        <v>82</v>
      </c>
      <c r="C20" s="126"/>
      <c r="D20" s="93" t="s">
        <v>703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86</v>
      </c>
      <c r="E22" s="94"/>
    </row>
    <row r="23" spans="1:5" ht="15.6" customHeight="1" x14ac:dyDescent="0.25">
      <c r="A23" s="50"/>
      <c r="B23" s="89" t="s">
        <v>33</v>
      </c>
      <c r="C23" s="88"/>
      <c r="D23" s="89" t="s">
        <v>672</v>
      </c>
      <c r="E23" s="90"/>
    </row>
    <row r="24" spans="1:5" ht="15.6" customHeight="1" x14ac:dyDescent="0.25">
      <c r="A24" s="47" t="s">
        <v>15</v>
      </c>
      <c r="B24" s="95" t="s">
        <v>704</v>
      </c>
      <c r="C24" s="92" t="s">
        <v>79</v>
      </c>
      <c r="D24" s="93" t="s">
        <v>705</v>
      </c>
      <c r="E24" s="94"/>
    </row>
    <row r="25" spans="1:5" ht="15.6" customHeight="1" x14ac:dyDescent="0.25">
      <c r="A25" s="48">
        <f>A20+1</f>
        <v>46346</v>
      </c>
      <c r="B25" s="108" t="s">
        <v>233</v>
      </c>
      <c r="C25" s="92"/>
      <c r="D25" s="93" t="s">
        <v>706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86</v>
      </c>
      <c r="E27" s="98"/>
    </row>
    <row r="28" spans="1:5" ht="15.6" customHeight="1" x14ac:dyDescent="0.25">
      <c r="A28" s="50"/>
      <c r="B28" s="97" t="s">
        <v>334</v>
      </c>
      <c r="C28" s="88"/>
      <c r="D28" s="89" t="s">
        <v>707</v>
      </c>
      <c r="E28" s="94"/>
    </row>
    <row r="29" spans="1:5" ht="15.6" customHeight="1" x14ac:dyDescent="0.25">
      <c r="A29" s="47" t="s">
        <v>17</v>
      </c>
      <c r="B29" s="95" t="s">
        <v>628</v>
      </c>
      <c r="C29" s="92" t="s">
        <v>6</v>
      </c>
      <c r="D29" s="93" t="s">
        <v>363</v>
      </c>
      <c r="E29" s="94"/>
    </row>
    <row r="30" spans="1:5" ht="15.6" customHeight="1" x14ac:dyDescent="0.25">
      <c r="A30" s="48">
        <f>A25+1</f>
        <v>46347</v>
      </c>
      <c r="B30" s="95" t="s">
        <v>627</v>
      </c>
      <c r="C30" s="92"/>
      <c r="D30" s="93" t="s">
        <v>71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688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415</v>
      </c>
      <c r="C34" s="92" t="s">
        <v>6</v>
      </c>
      <c r="D34" s="108" t="s">
        <v>708</v>
      </c>
      <c r="E34" s="94"/>
    </row>
    <row r="35" spans="1:5" ht="15" customHeight="1" x14ac:dyDescent="0.25">
      <c r="A35" s="48">
        <f>A30+1</f>
        <v>46348</v>
      </c>
      <c r="B35" s="95" t="s">
        <v>208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AAC7-33F1-4324-BFCB-E8A44B414764}">
  <sheetPr codeName="Feuil49">
    <tabColor theme="5" tint="0.39997558519241921"/>
    <pageSetUpPr fitToPage="1"/>
  </sheetPr>
  <dimension ref="A1:E38"/>
  <sheetViews>
    <sheetView zoomScale="70" zoomScaleNormal="70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46349</v>
      </c>
      <c r="D1" s="39" t="s">
        <v>1</v>
      </c>
      <c r="E1" s="40">
        <f>A35</f>
        <v>46355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132</v>
      </c>
      <c r="C3" s="16"/>
      <c r="D3" s="54" t="s">
        <v>103</v>
      </c>
      <c r="E3" s="11"/>
    </row>
    <row r="4" spans="1:5" ht="15.6" customHeight="1" x14ac:dyDescent="0.25">
      <c r="A4" s="47" t="s">
        <v>5</v>
      </c>
      <c r="B4" s="15" t="s">
        <v>133</v>
      </c>
      <c r="C4" s="52" t="s">
        <v>6</v>
      </c>
      <c r="D4" s="55" t="s">
        <v>97</v>
      </c>
      <c r="E4" s="12"/>
    </row>
    <row r="5" spans="1:5" ht="15.6" customHeight="1" x14ac:dyDescent="0.25">
      <c r="A5" s="48">
        <f>'semaine 47'!A35+1</f>
        <v>46349</v>
      </c>
      <c r="B5" s="57" t="s">
        <v>154</v>
      </c>
      <c r="C5" s="52"/>
      <c r="D5" s="55" t="s">
        <v>155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112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134</v>
      </c>
      <c r="C9" s="52" t="s">
        <v>6</v>
      </c>
      <c r="D9" s="55" t="s">
        <v>156</v>
      </c>
      <c r="E9" s="12"/>
    </row>
    <row r="10" spans="1:5" ht="15.6" customHeight="1" x14ac:dyDescent="0.25">
      <c r="A10" s="48">
        <f>A5+1</f>
        <v>46350</v>
      </c>
      <c r="B10" s="15"/>
      <c r="C10" s="52"/>
      <c r="D10" s="55" t="s">
        <v>157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158</v>
      </c>
      <c r="C13" s="16"/>
      <c r="D13" s="54" t="s">
        <v>111</v>
      </c>
      <c r="E13" s="11"/>
    </row>
    <row r="14" spans="1:5" ht="15.6" customHeight="1" x14ac:dyDescent="0.25">
      <c r="A14" s="47" t="s">
        <v>9</v>
      </c>
      <c r="B14" s="15" t="s">
        <v>135</v>
      </c>
      <c r="C14" s="52" t="s">
        <v>6</v>
      </c>
      <c r="D14" s="55" t="s">
        <v>159</v>
      </c>
      <c r="E14" s="12"/>
    </row>
    <row r="15" spans="1:5" ht="15.6" customHeight="1" x14ac:dyDescent="0.25">
      <c r="A15" s="48">
        <f>A10+1</f>
        <v>46351</v>
      </c>
      <c r="B15" s="15" t="s">
        <v>160</v>
      </c>
      <c r="C15" s="52"/>
      <c r="D15" s="55" t="s">
        <v>410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102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161</v>
      </c>
      <c r="C19" s="52" t="s">
        <v>6</v>
      </c>
      <c r="D19" s="55" t="s">
        <v>162</v>
      </c>
      <c r="E19" s="12"/>
    </row>
    <row r="20" spans="1:5" ht="15.6" customHeight="1" x14ac:dyDescent="0.25">
      <c r="A20" s="48">
        <f>A15+1</f>
        <v>46352</v>
      </c>
      <c r="B20" s="15" t="s">
        <v>163</v>
      </c>
      <c r="C20" s="52"/>
      <c r="D20" s="55" t="s">
        <v>164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165</v>
      </c>
      <c r="C23" s="16"/>
      <c r="D23" s="54" t="s">
        <v>136</v>
      </c>
      <c r="E23" s="11"/>
    </row>
    <row r="24" spans="1:5" ht="15.6" customHeight="1" x14ac:dyDescent="0.25">
      <c r="A24" s="47" t="s">
        <v>15</v>
      </c>
      <c r="B24" s="15" t="s">
        <v>166</v>
      </c>
      <c r="C24" s="52" t="s">
        <v>6</v>
      </c>
      <c r="D24" s="55" t="s">
        <v>137</v>
      </c>
      <c r="E24" s="12"/>
    </row>
    <row r="25" spans="1:5" ht="15.6" customHeight="1" x14ac:dyDescent="0.25">
      <c r="A25" s="48">
        <f>A20+1</f>
        <v>46353</v>
      </c>
      <c r="B25" s="15" t="s">
        <v>101</v>
      </c>
      <c r="C25" s="52"/>
      <c r="D25" s="55" t="s">
        <v>33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412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167</v>
      </c>
      <c r="C29" s="52" t="s">
        <v>6</v>
      </c>
      <c r="D29" s="55" t="s">
        <v>168</v>
      </c>
      <c r="E29" s="12"/>
    </row>
    <row r="30" spans="1:5" ht="15.6" customHeight="1" x14ac:dyDescent="0.25">
      <c r="A30" s="48">
        <f>A25+1</f>
        <v>46354</v>
      </c>
      <c r="B30" s="15" t="s">
        <v>169</v>
      </c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138</v>
      </c>
      <c r="E33" s="11"/>
    </row>
    <row r="34" spans="1:5" ht="15" customHeight="1" x14ac:dyDescent="0.25">
      <c r="A34" s="47" t="s">
        <v>21</v>
      </c>
      <c r="B34" s="15" t="s">
        <v>237</v>
      </c>
      <c r="C34" s="52" t="s">
        <v>6</v>
      </c>
      <c r="D34" s="55" t="s">
        <v>139</v>
      </c>
      <c r="E34" s="12"/>
    </row>
    <row r="35" spans="1:5" ht="15" customHeight="1" x14ac:dyDescent="0.25">
      <c r="A35" s="48">
        <f>A30+1</f>
        <v>46355</v>
      </c>
      <c r="B35" s="15" t="s">
        <v>63</v>
      </c>
      <c r="C35" s="52"/>
      <c r="D35" s="55" t="s">
        <v>171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BBF7-260C-4EB7-918F-EC01B5F2D513}">
  <sheetPr codeName="Feuil50">
    <tabColor rgb="FFE98FDE"/>
    <pageSetUpPr fitToPage="1"/>
  </sheetPr>
  <dimension ref="A1:E38"/>
  <sheetViews>
    <sheetView zoomScale="70" zoomScaleNormal="70" zoomScalePageLayoutView="5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46356</v>
      </c>
      <c r="D1" s="39" t="s">
        <v>1</v>
      </c>
      <c r="E1" s="40">
        <f>A35</f>
        <v>46362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25">
      <c r="A5" s="48">
        <f>'semaine 48'!A35+1</f>
        <v>46356</v>
      </c>
      <c r="B5" s="57" t="s">
        <v>85</v>
      </c>
      <c r="C5" s="52"/>
      <c r="D5" s="55"/>
      <c r="E5" s="12"/>
    </row>
    <row r="6" spans="1:5" ht="15.6" customHeight="1" x14ac:dyDescent="0.25">
      <c r="A6" s="48"/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A5+1</f>
        <v>46357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 t="s">
        <v>90</v>
      </c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238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46358</v>
      </c>
      <c r="B15" s="15" t="s">
        <v>259</v>
      </c>
      <c r="C15" s="52"/>
      <c r="D15" s="55" t="s">
        <v>33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5" ht="15.6" customHeight="1" x14ac:dyDescent="0.25">
      <c r="A20" s="48">
        <f>A15+1</f>
        <v>46359</v>
      </c>
      <c r="B20" s="15" t="s">
        <v>180</v>
      </c>
      <c r="C20" s="52"/>
      <c r="D20" s="55" t="s">
        <v>140</v>
      </c>
      <c r="E20" s="12"/>
    </row>
    <row r="21" spans="1:5" ht="15.6" customHeight="1" x14ac:dyDescent="0.25">
      <c r="A21" s="47"/>
      <c r="B21" s="15" t="s">
        <v>23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5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5" ht="15.6" customHeight="1" x14ac:dyDescent="0.25">
      <c r="A25" s="48">
        <f>A20+1</f>
        <v>46360</v>
      </c>
      <c r="B25" s="15" t="s">
        <v>184</v>
      </c>
      <c r="C25" s="52"/>
      <c r="D25" s="55"/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5" ht="15.6" customHeight="1" x14ac:dyDescent="0.25">
      <c r="A30" s="48">
        <f>A25+1</f>
        <v>46361</v>
      </c>
      <c r="B30" s="15"/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145</v>
      </c>
      <c r="E34" s="12"/>
    </row>
    <row r="35" spans="1:5" ht="15" customHeight="1" x14ac:dyDescent="0.25">
      <c r="A35" s="48">
        <f>A30+1</f>
        <v>46362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D756-5046-485F-B2DC-DF30B95AAB7D}">
  <sheetPr codeName="Feuil51">
    <tabColor rgb="FFE98FDE"/>
    <pageSetUpPr fitToPage="1"/>
  </sheetPr>
  <dimension ref="A1:E38"/>
  <sheetViews>
    <sheetView zoomScale="85" zoomScaleNormal="8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46363</v>
      </c>
      <c r="D1" s="39" t="s">
        <v>1</v>
      </c>
      <c r="E1" s="40">
        <f>A35</f>
        <v>46369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100</v>
      </c>
      <c r="C3" s="16"/>
      <c r="D3" s="54" t="s">
        <v>190</v>
      </c>
      <c r="E3" s="11"/>
    </row>
    <row r="4" spans="1:5" ht="15.6" customHeight="1" x14ac:dyDescent="0.25">
      <c r="A4" s="47" t="s">
        <v>5</v>
      </c>
      <c r="B4" s="15" t="s">
        <v>191</v>
      </c>
      <c r="C4" s="52"/>
      <c r="D4" s="55" t="s">
        <v>192</v>
      </c>
      <c r="E4" s="12" t="s">
        <v>6</v>
      </c>
    </row>
    <row r="5" spans="1:5" ht="15.6" customHeight="1" x14ac:dyDescent="0.25">
      <c r="A5" s="48">
        <f>'semaine 49'!A35+1</f>
        <v>46363</v>
      </c>
      <c r="B5" s="57" t="s">
        <v>193</v>
      </c>
      <c r="C5" s="52"/>
      <c r="D5" s="55" t="s">
        <v>194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195</v>
      </c>
      <c r="C9" s="52" t="s">
        <v>6</v>
      </c>
      <c r="D9" s="55" t="s">
        <v>409</v>
      </c>
      <c r="E9" s="12"/>
    </row>
    <row r="10" spans="1:5" ht="15.6" customHeight="1" x14ac:dyDescent="0.25">
      <c r="A10" s="48">
        <f>A5+1</f>
        <v>46364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141</v>
      </c>
      <c r="C13" s="16"/>
      <c r="D13" s="54" t="s">
        <v>176</v>
      </c>
      <c r="E13" s="11"/>
    </row>
    <row r="14" spans="1:5" ht="15.6" customHeight="1" x14ac:dyDescent="0.25">
      <c r="A14" s="47" t="s">
        <v>9</v>
      </c>
      <c r="B14" s="15" t="s">
        <v>105</v>
      </c>
      <c r="C14" s="52" t="s">
        <v>6</v>
      </c>
      <c r="D14" s="55" t="s">
        <v>106</v>
      </c>
      <c r="E14" s="12" t="s">
        <v>196</v>
      </c>
    </row>
    <row r="15" spans="1:5" ht="15.6" customHeight="1" x14ac:dyDescent="0.25">
      <c r="A15" s="48">
        <f>A10+1</f>
        <v>46365</v>
      </c>
      <c r="B15" s="15" t="s">
        <v>143</v>
      </c>
      <c r="C15" s="52"/>
      <c r="D15" s="55" t="s">
        <v>108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109</v>
      </c>
      <c r="C18" s="16"/>
      <c r="D18" s="54" t="s">
        <v>110</v>
      </c>
      <c r="E18" s="12"/>
    </row>
    <row r="19" spans="1:5" ht="15.6" customHeight="1" x14ac:dyDescent="0.25">
      <c r="A19" s="47" t="s">
        <v>10</v>
      </c>
      <c r="B19" s="15" t="s">
        <v>197</v>
      </c>
      <c r="C19" s="52" t="s">
        <v>6</v>
      </c>
      <c r="D19" s="55" t="s">
        <v>198</v>
      </c>
      <c r="E19" s="12" t="s">
        <v>6</v>
      </c>
    </row>
    <row r="20" spans="1:5" ht="15.6" customHeight="1" x14ac:dyDescent="0.25">
      <c r="A20" s="48">
        <f>A15+1</f>
        <v>46366</v>
      </c>
      <c r="B20" s="15"/>
      <c r="C20" s="52"/>
      <c r="D20" s="55" t="s">
        <v>113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199</v>
      </c>
      <c r="C23" s="16"/>
      <c r="D23" s="54" t="s">
        <v>33</v>
      </c>
      <c r="E23" s="11"/>
    </row>
    <row r="24" spans="1:5" ht="15.6" customHeight="1" x14ac:dyDescent="0.25">
      <c r="A24" s="47" t="s">
        <v>15</v>
      </c>
      <c r="B24" s="15" t="s">
        <v>200</v>
      </c>
      <c r="C24" s="52"/>
      <c r="D24" s="55" t="s">
        <v>65</v>
      </c>
      <c r="E24" s="12" t="s">
        <v>6</v>
      </c>
    </row>
    <row r="25" spans="1:5" ht="15.6" customHeight="1" x14ac:dyDescent="0.25">
      <c r="A25" s="48">
        <f>A20+1</f>
        <v>46367</v>
      </c>
      <c r="B25" s="15" t="s">
        <v>201</v>
      </c>
      <c r="C25" s="52"/>
      <c r="D25" s="55" t="s">
        <v>410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89</v>
      </c>
      <c r="C29" s="52" t="s">
        <v>6</v>
      </c>
      <c r="D29" s="55" t="s">
        <v>202</v>
      </c>
      <c r="E29" s="12"/>
    </row>
    <row r="30" spans="1:5" ht="15.6" customHeight="1" x14ac:dyDescent="0.25">
      <c r="A30" s="48">
        <f>A25+1</f>
        <v>46368</v>
      </c>
      <c r="B30" s="15" t="s">
        <v>203</v>
      </c>
      <c r="C30" s="52"/>
      <c r="D30" s="55" t="s">
        <v>157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76</v>
      </c>
      <c r="E33" s="11"/>
    </row>
    <row r="34" spans="1:5" ht="15" customHeight="1" x14ac:dyDescent="0.25">
      <c r="A34" s="47" t="s">
        <v>21</v>
      </c>
      <c r="B34" s="15" t="s">
        <v>204</v>
      </c>
      <c r="C34" s="52" t="s">
        <v>6</v>
      </c>
      <c r="D34" s="55" t="s">
        <v>97</v>
      </c>
      <c r="E34" s="12" t="s">
        <v>6</v>
      </c>
    </row>
    <row r="35" spans="1:5" ht="15" customHeight="1" x14ac:dyDescent="0.25">
      <c r="A35" s="48">
        <f>A30+1</f>
        <v>46369</v>
      </c>
      <c r="B35" s="15" t="s">
        <v>101</v>
      </c>
      <c r="C35" s="52"/>
      <c r="D35" s="55" t="s">
        <v>205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D518-E88E-4906-B73A-B9F66FE1DE69}">
  <sheetPr codeName="Feuil52">
    <tabColor rgb="FFE98FDE"/>
    <pageSetUpPr fitToPage="1"/>
  </sheetPr>
  <dimension ref="A1:E38"/>
  <sheetViews>
    <sheetView zoomScale="70" zoomScaleNormal="70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46370</v>
      </c>
      <c r="D1" s="39" t="s">
        <v>1</v>
      </c>
      <c r="E1" s="40">
        <f>A35</f>
        <v>46376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94</v>
      </c>
      <c r="C3" s="16"/>
      <c r="D3" s="54" t="s">
        <v>104</v>
      </c>
      <c r="E3" s="11"/>
    </row>
    <row r="4" spans="1:5" ht="15.6" customHeight="1" x14ac:dyDescent="0.25">
      <c r="A4" s="47" t="s">
        <v>5</v>
      </c>
      <c r="B4" s="15" t="s">
        <v>115</v>
      </c>
      <c r="C4" s="52" t="s">
        <v>6</v>
      </c>
      <c r="D4" s="55" t="s">
        <v>206</v>
      </c>
      <c r="E4" s="12"/>
    </row>
    <row r="5" spans="1:5" ht="15.6" customHeight="1" x14ac:dyDescent="0.25">
      <c r="A5" s="48">
        <f>'semaine 50'!A35+1</f>
        <v>46370</v>
      </c>
      <c r="B5" s="57" t="s">
        <v>107</v>
      </c>
      <c r="C5" s="52"/>
      <c r="D5" s="55" t="s">
        <v>410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178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265</v>
      </c>
      <c r="C9" s="52"/>
      <c r="D9" s="55" t="s">
        <v>207</v>
      </c>
      <c r="E9" s="12" t="s">
        <v>6</v>
      </c>
    </row>
    <row r="10" spans="1:5" ht="15.6" customHeight="1" x14ac:dyDescent="0.25">
      <c r="A10" s="48">
        <f>A5+1</f>
        <v>46371</v>
      </c>
      <c r="B10" s="15" t="s">
        <v>208</v>
      </c>
      <c r="C10" s="52"/>
      <c r="D10" s="55" t="s">
        <v>209</v>
      </c>
      <c r="E10" s="12"/>
    </row>
    <row r="11" spans="1:5" ht="15.6" customHeight="1" x14ac:dyDescent="0.25">
      <c r="A11" s="47"/>
      <c r="B11" s="15" t="s">
        <v>90</v>
      </c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116</v>
      </c>
      <c r="C13" s="16"/>
      <c r="D13" s="54" t="s">
        <v>210</v>
      </c>
      <c r="E13" s="11"/>
    </row>
    <row r="14" spans="1:5" ht="15.6" customHeight="1" x14ac:dyDescent="0.25">
      <c r="A14" s="47" t="s">
        <v>9</v>
      </c>
      <c r="B14" s="15" t="s">
        <v>211</v>
      </c>
      <c r="C14" s="52" t="s">
        <v>212</v>
      </c>
      <c r="D14" s="55" t="s">
        <v>117</v>
      </c>
      <c r="E14" s="12"/>
    </row>
    <row r="15" spans="1:5" ht="15.6" customHeight="1" x14ac:dyDescent="0.25">
      <c r="A15" s="48">
        <f>A10+1</f>
        <v>46372</v>
      </c>
      <c r="B15" s="15" t="s">
        <v>98</v>
      </c>
      <c r="C15" s="52"/>
      <c r="D15" s="55" t="s">
        <v>104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239</v>
      </c>
      <c r="C18" s="16"/>
      <c r="D18" s="54" t="s">
        <v>214</v>
      </c>
      <c r="E18" s="12"/>
    </row>
    <row r="19" spans="1:5" ht="15.6" customHeight="1" x14ac:dyDescent="0.25">
      <c r="A19" s="47" t="s">
        <v>10</v>
      </c>
      <c r="B19" s="15" t="s">
        <v>240</v>
      </c>
      <c r="C19" s="52" t="s">
        <v>6</v>
      </c>
      <c r="D19" s="55" t="s">
        <v>118</v>
      </c>
      <c r="E19" s="12" t="s">
        <v>6</v>
      </c>
    </row>
    <row r="20" spans="1:5" ht="15.6" customHeight="1" x14ac:dyDescent="0.25">
      <c r="A20" s="48">
        <f>A15+1</f>
        <v>46373</v>
      </c>
      <c r="B20" s="15" t="s">
        <v>260</v>
      </c>
      <c r="C20" s="52"/>
      <c r="D20" s="55"/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250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148</v>
      </c>
      <c r="C23" s="16"/>
      <c r="D23" s="54" t="s">
        <v>109</v>
      </c>
      <c r="E23" s="11"/>
    </row>
    <row r="24" spans="1:5" ht="15.6" customHeight="1" x14ac:dyDescent="0.25">
      <c r="A24" s="47" t="s">
        <v>15</v>
      </c>
      <c r="B24" s="15" t="s">
        <v>216</v>
      </c>
      <c r="C24" s="52"/>
      <c r="D24" s="55" t="s">
        <v>217</v>
      </c>
      <c r="E24" s="12" t="s">
        <v>6</v>
      </c>
    </row>
    <row r="25" spans="1:5" ht="15.6" customHeight="1" x14ac:dyDescent="0.25">
      <c r="A25" s="48">
        <f>A20+1</f>
        <v>46374</v>
      </c>
      <c r="B25" s="15" t="s">
        <v>119</v>
      </c>
      <c r="C25" s="52"/>
      <c r="D25" s="55" t="s">
        <v>151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146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218</v>
      </c>
      <c r="C29" s="52" t="s">
        <v>6</v>
      </c>
      <c r="D29" s="55" t="s">
        <v>219</v>
      </c>
      <c r="E29" s="12" t="s">
        <v>6</v>
      </c>
    </row>
    <row r="30" spans="1:5" ht="15.6" customHeight="1" x14ac:dyDescent="0.25">
      <c r="A30" s="48">
        <f>A25+1</f>
        <v>46375</v>
      </c>
      <c r="B30" s="15" t="s">
        <v>114</v>
      </c>
      <c r="C30" s="52"/>
      <c r="D30" s="55" t="s">
        <v>220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34</v>
      </c>
      <c r="C33" s="16"/>
      <c r="D33" s="54" t="s">
        <v>153</v>
      </c>
      <c r="E33" s="11"/>
    </row>
    <row r="34" spans="1:5" ht="15" customHeight="1" x14ac:dyDescent="0.25">
      <c r="A34" s="47" t="s">
        <v>21</v>
      </c>
      <c r="B34" s="15" t="s">
        <v>40</v>
      </c>
      <c r="C34" s="52" t="s">
        <v>6</v>
      </c>
      <c r="D34" s="55" t="s">
        <v>120</v>
      </c>
      <c r="E34" s="12"/>
    </row>
    <row r="35" spans="1:5" ht="15" customHeight="1" x14ac:dyDescent="0.25">
      <c r="A35" s="48">
        <f>A30+1</f>
        <v>46376</v>
      </c>
      <c r="B35" s="15" t="s">
        <v>11</v>
      </c>
      <c r="C35" s="52"/>
      <c r="D35" s="55" t="s">
        <v>48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221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50FC-6C56-4277-A1A2-82C9C109460D}">
  <sheetPr codeName="Feuil53">
    <tabColor rgb="FFE98FDE"/>
    <pageSetUpPr fitToPage="1"/>
  </sheetPr>
  <dimension ref="A1:E38"/>
  <sheetViews>
    <sheetView showGridLines="0" zoomScale="85" zoomScaleNormal="8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46377</v>
      </c>
      <c r="D1" s="39" t="s">
        <v>1</v>
      </c>
      <c r="E1" s="40">
        <f>A35</f>
        <v>46383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121</v>
      </c>
      <c r="C3" s="16"/>
      <c r="D3" s="54" t="s">
        <v>122</v>
      </c>
      <c r="E3" s="11"/>
    </row>
    <row r="4" spans="1:5" ht="15.6" customHeight="1" x14ac:dyDescent="0.25">
      <c r="A4" s="47" t="s">
        <v>5</v>
      </c>
      <c r="B4" s="15" t="s">
        <v>123</v>
      </c>
      <c r="C4" s="52" t="s">
        <v>6</v>
      </c>
      <c r="D4" s="55" t="s">
        <v>124</v>
      </c>
      <c r="E4" s="12"/>
    </row>
    <row r="5" spans="1:5" ht="15.6" customHeight="1" x14ac:dyDescent="0.25">
      <c r="A5" s="48">
        <f>'semaine 51'!A35+1</f>
        <v>46377</v>
      </c>
      <c r="B5" s="57" t="s">
        <v>222</v>
      </c>
      <c r="C5" s="52"/>
      <c r="D5" s="55" t="s">
        <v>125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104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126</v>
      </c>
      <c r="C9" s="52" t="s">
        <v>6</v>
      </c>
      <c r="D9" s="55" t="s">
        <v>223</v>
      </c>
      <c r="E9" s="12" t="s">
        <v>6</v>
      </c>
    </row>
    <row r="10" spans="1:5" ht="15.6" customHeight="1" x14ac:dyDescent="0.25">
      <c r="A10" s="48">
        <f>A5+1</f>
        <v>46378</v>
      </c>
      <c r="B10" s="15" t="s">
        <v>127</v>
      </c>
      <c r="C10" s="52"/>
      <c r="D10" s="55" t="s">
        <v>224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117</v>
      </c>
      <c r="C13" s="16"/>
      <c r="D13" s="54" t="s">
        <v>241</v>
      </c>
      <c r="E13" s="11"/>
    </row>
    <row r="14" spans="1:5" ht="15.6" customHeight="1" x14ac:dyDescent="0.25">
      <c r="A14" s="47" t="s">
        <v>9</v>
      </c>
      <c r="B14" s="15" t="s">
        <v>149</v>
      </c>
      <c r="C14" s="52" t="s">
        <v>6</v>
      </c>
      <c r="D14" s="55" t="s">
        <v>242</v>
      </c>
      <c r="E14" s="12" t="s">
        <v>6</v>
      </c>
    </row>
    <row r="15" spans="1:5" ht="15.6" customHeight="1" x14ac:dyDescent="0.25">
      <c r="A15" s="48">
        <f>A10+1</f>
        <v>46379</v>
      </c>
      <c r="B15" s="15" t="s">
        <v>226</v>
      </c>
      <c r="C15" s="52"/>
      <c r="D15" s="55" t="s">
        <v>243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244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245</v>
      </c>
      <c r="E17" s="13"/>
    </row>
    <row r="18" spans="1:5" ht="15.6" customHeight="1" x14ac:dyDescent="0.25">
      <c r="A18" s="50"/>
      <c r="B18" s="14" t="s">
        <v>246</v>
      </c>
      <c r="C18" s="16"/>
      <c r="D18" s="54" t="s">
        <v>251</v>
      </c>
      <c r="E18" s="12"/>
    </row>
    <row r="19" spans="1:5" ht="15.6" customHeight="1" x14ac:dyDescent="0.25">
      <c r="A19" s="47" t="s">
        <v>10</v>
      </c>
      <c r="B19" s="15" t="s">
        <v>247</v>
      </c>
      <c r="C19" s="52" t="s">
        <v>6</v>
      </c>
      <c r="D19" s="55" t="s">
        <v>252</v>
      </c>
      <c r="E19" s="12"/>
    </row>
    <row r="20" spans="1:5" ht="15.6" customHeight="1" x14ac:dyDescent="0.25">
      <c r="A20" s="48">
        <f>A15+1</f>
        <v>46380</v>
      </c>
      <c r="B20" s="15" t="s">
        <v>248</v>
      </c>
      <c r="C20" s="52"/>
      <c r="D20" s="55" t="s">
        <v>253</v>
      </c>
      <c r="E20" s="12"/>
    </row>
    <row r="21" spans="1:5" ht="15.6" customHeight="1" x14ac:dyDescent="0.25">
      <c r="A21" s="47"/>
      <c r="B21" s="15" t="s">
        <v>249</v>
      </c>
      <c r="C21" s="52"/>
      <c r="D21" s="55" t="s">
        <v>144</v>
      </c>
      <c r="E21" s="12"/>
    </row>
    <row r="22" spans="1:5" ht="15.6" customHeight="1" thickBot="1" x14ac:dyDescent="0.3">
      <c r="A22" s="47"/>
      <c r="B22" s="15" t="s">
        <v>250</v>
      </c>
      <c r="C22" s="52"/>
      <c r="D22" s="55" t="s">
        <v>254</v>
      </c>
      <c r="E22" s="12"/>
    </row>
    <row r="23" spans="1:5" ht="15.6" customHeight="1" x14ac:dyDescent="0.25">
      <c r="A23" s="50"/>
      <c r="B23" s="14" t="s">
        <v>227</v>
      </c>
      <c r="C23" s="16"/>
      <c r="D23" s="54" t="s">
        <v>104</v>
      </c>
      <c r="E23" s="11"/>
    </row>
    <row r="24" spans="1:5" ht="15.6" customHeight="1" x14ac:dyDescent="0.25">
      <c r="A24" s="47" t="s">
        <v>15</v>
      </c>
      <c r="B24" s="15" t="s">
        <v>228</v>
      </c>
      <c r="C24" s="52"/>
      <c r="D24" s="55" t="s">
        <v>229</v>
      </c>
      <c r="E24" s="12" t="s">
        <v>6</v>
      </c>
    </row>
    <row r="25" spans="1:5" ht="15.6" customHeight="1" x14ac:dyDescent="0.25">
      <c r="A25" s="48">
        <f>A20+1</f>
        <v>46381</v>
      </c>
      <c r="B25" s="15"/>
      <c r="C25" s="52"/>
      <c r="D25" s="55" t="s">
        <v>230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221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131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231</v>
      </c>
      <c r="C29" s="52" t="s">
        <v>6</v>
      </c>
      <c r="D29" s="55" t="s">
        <v>150</v>
      </c>
      <c r="E29" s="12"/>
    </row>
    <row r="30" spans="1:5" ht="15.6" customHeight="1" x14ac:dyDescent="0.25">
      <c r="A30" s="48">
        <f>A25+1</f>
        <v>46382</v>
      </c>
      <c r="B30" s="15" t="s">
        <v>143</v>
      </c>
      <c r="C30" s="52"/>
      <c r="D30" s="55" t="s">
        <v>232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111</v>
      </c>
      <c r="C33" s="16"/>
      <c r="D33" s="54" t="s">
        <v>87</v>
      </c>
      <c r="E33" s="11"/>
    </row>
    <row r="34" spans="1:5" ht="15" customHeight="1" x14ac:dyDescent="0.25">
      <c r="A34" s="47" t="s">
        <v>21</v>
      </c>
      <c r="B34" s="15" t="s">
        <v>289</v>
      </c>
      <c r="C34" s="52" t="s">
        <v>6</v>
      </c>
      <c r="D34" s="55" t="s">
        <v>411</v>
      </c>
      <c r="E34" s="12" t="s">
        <v>6</v>
      </c>
    </row>
    <row r="35" spans="1:5" ht="15" customHeight="1" x14ac:dyDescent="0.25">
      <c r="A35" s="48">
        <f>A30+1</f>
        <v>46383</v>
      </c>
      <c r="B35" s="15" t="s">
        <v>77</v>
      </c>
      <c r="C35" s="52"/>
      <c r="D35" s="55"/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53</vt:i4>
      </vt:variant>
      <vt:variant>
        <vt:lpstr>Plages nommées</vt:lpstr>
      </vt:variant>
      <vt:variant>
        <vt:i4>16</vt:i4>
      </vt:variant>
    </vt:vector>
  </HeadingPairs>
  <TitlesOfParts>
    <vt:vector size="69" baseType="lpstr">
      <vt:lpstr>semaine 52 n-1</vt:lpstr>
      <vt:lpstr>semaine 1</vt:lpstr>
      <vt:lpstr>semaine 2</vt:lpstr>
      <vt:lpstr>semaine 3</vt:lpstr>
      <vt:lpstr>semaine 4</vt:lpstr>
      <vt:lpstr>semaine 5</vt:lpstr>
      <vt:lpstr>semaine 6</vt:lpstr>
      <vt:lpstr>semaine 7</vt:lpstr>
      <vt:lpstr>semaine 8</vt:lpstr>
      <vt:lpstr>semaine 9 </vt:lpstr>
      <vt:lpstr>semaine 10</vt:lpstr>
      <vt:lpstr>semaine 11</vt:lpstr>
      <vt:lpstr>semaine 12</vt:lpstr>
      <vt:lpstr>semaine 13</vt:lpstr>
      <vt:lpstr>semaine 14</vt:lpstr>
      <vt:lpstr>semaine 15</vt:lpstr>
      <vt:lpstr>semaine 16</vt:lpstr>
      <vt:lpstr>semaine 17</vt:lpstr>
      <vt:lpstr>semaine 18</vt:lpstr>
      <vt:lpstr>semaine 19</vt:lpstr>
      <vt:lpstr>semaine 20</vt:lpstr>
      <vt:lpstr>semaine 21</vt:lpstr>
      <vt:lpstr>semaine 22</vt:lpstr>
      <vt:lpstr>semaine 23</vt:lpstr>
      <vt:lpstr>semaine 24</vt:lpstr>
      <vt:lpstr>semaine 25</vt:lpstr>
      <vt:lpstr>semaine 26</vt:lpstr>
      <vt:lpstr>semaine 27</vt:lpstr>
      <vt:lpstr>semaine 28</vt:lpstr>
      <vt:lpstr>semaine 29</vt:lpstr>
      <vt:lpstr>semaine 30</vt:lpstr>
      <vt:lpstr>semaine 31</vt:lpstr>
      <vt:lpstr>semaine 32</vt:lpstr>
      <vt:lpstr>semaine 33</vt:lpstr>
      <vt:lpstr>semaine 34</vt:lpstr>
      <vt:lpstr>semaine 35</vt:lpstr>
      <vt:lpstr>semaine 36</vt:lpstr>
      <vt:lpstr>semaine 37</vt:lpstr>
      <vt:lpstr>semaine 38</vt:lpstr>
      <vt:lpstr>semaine 39</vt:lpstr>
      <vt:lpstr>semaine 40</vt:lpstr>
      <vt:lpstr>semaine 41</vt:lpstr>
      <vt:lpstr>semaine 42</vt:lpstr>
      <vt:lpstr>semaine 43</vt:lpstr>
      <vt:lpstr>semaine 44</vt:lpstr>
      <vt:lpstr>semaine 45</vt:lpstr>
      <vt:lpstr>semaine 46</vt:lpstr>
      <vt:lpstr>semaine 47</vt:lpstr>
      <vt:lpstr>semaine 48</vt:lpstr>
      <vt:lpstr>semaine 49</vt:lpstr>
      <vt:lpstr>semaine 50</vt:lpstr>
      <vt:lpstr>semaine 51</vt:lpstr>
      <vt:lpstr>semaine 52</vt:lpstr>
      <vt:lpstr>'semaine 1'!Zone_d_impression</vt:lpstr>
      <vt:lpstr>'semaine 11'!Zone_d_impression</vt:lpstr>
      <vt:lpstr>'semaine 16'!Zone_d_impression</vt:lpstr>
      <vt:lpstr>'semaine 17'!Zone_d_impression</vt:lpstr>
      <vt:lpstr>'semaine 18'!Zone_d_impression</vt:lpstr>
      <vt:lpstr>'semaine 19'!Zone_d_impression</vt:lpstr>
      <vt:lpstr>'semaine 20'!Zone_d_impression</vt:lpstr>
      <vt:lpstr>'semaine 21'!Zone_d_impression</vt:lpstr>
      <vt:lpstr>'semaine 22'!Zone_d_impression</vt:lpstr>
      <vt:lpstr>'semaine 23'!Zone_d_impression</vt:lpstr>
      <vt:lpstr>'semaine 24'!Zone_d_impression</vt:lpstr>
      <vt:lpstr>'semaine 3'!Zone_d_impression</vt:lpstr>
      <vt:lpstr>'semaine 4'!Zone_d_impression</vt:lpstr>
      <vt:lpstr>'semaine 5'!Zone_d_impression</vt:lpstr>
      <vt:lpstr>'semaine 6'!Zone_d_impression</vt:lpstr>
      <vt:lpstr>'semaine 7'!Zone_d_impression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Cuisine</dc:creator>
  <cp:lastModifiedBy>Cuisine FAM</cp:lastModifiedBy>
  <cp:lastPrinted>2026-09-14T12:37:00Z</cp:lastPrinted>
  <dcterms:created xsi:type="dcterms:W3CDTF">2024-03-19T14:43:44Z</dcterms:created>
  <dcterms:modified xsi:type="dcterms:W3CDTF">2026-09-14T12:45:06Z</dcterms:modified>
</cp:coreProperties>
</file>